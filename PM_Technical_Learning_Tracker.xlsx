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ech Roadmap" sheetId="2" state="visible" r:id="rId4"/>
    <sheet name="Study Plan" sheetId="3" state="visible" r:id="rId5"/>
    <sheet name="Guide" sheetId="4" state="visible" r:id="rId6"/>
  </sheets>
  <definedNames>
    <definedName function="false" hidden="true" localSheetId="1" name="_xlnm._FilterDatabase" vbProcedure="false">'Tech Roadmap'!$A$1:$S$62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Midpoint of your 3–4 hrs/week. Drives Est. Hours and finish date.</t>
        </r>
      </text>
    </comment>
    <comment ref="B13" authorId="0">
      <text>
        <r>
          <rPr>
            <sz val="10"/>
            <rFont val="Arial"/>
            <family val="2"/>
          </rPr>
          <t xml:space="preserve">Enter the date you start Phase 1.</t>
        </r>
      </text>
    </comment>
    <comment ref="B14" authorId="0">
      <text>
        <r>
          <rPr>
            <sz val="10"/>
            <rFont val="Arial"/>
            <family val="2"/>
          </rPr>
          <t xml:space="preserve">Enter your exam date; plan to raise tech hours after it.</t>
        </r>
      </text>
    </comment>
    <comment ref="B15" authorId="0">
      <text>
        <r>
          <rPr>
            <sz val="10"/>
            <rFont val="Arial"/>
            <family val="2"/>
          </rPr>
          <t xml:space="preserve">Assumption: roughly double once GMAT is done. Change as needed.</t>
        </r>
      </text>
    </comment>
  </commentList>
</comments>
</file>

<file path=xl/sharedStrings.xml><?xml version="1.0" encoding="utf-8"?>
<sst xmlns="http://schemas.openxmlformats.org/spreadsheetml/2006/main" count="733" uniqueCount="348">
  <si>
    <t xml:space="preserve">PM Technical Learning Dashboard</t>
  </si>
  <si>
    <t xml:space="preserve">Metric</t>
  </si>
  <si>
    <t xml:space="preserve">Value</t>
  </si>
  <si>
    <t xml:space="preserve">Total skills</t>
  </si>
  <si>
    <t xml:space="preserve">Completed</t>
  </si>
  <si>
    <t xml:space="preserve">In Progress</t>
  </si>
  <si>
    <t xml:space="preserve">Not Started</t>
  </si>
  <si>
    <t xml:space="preserve">Skipped</t>
  </si>
  <si>
    <t xml:space="preserve">Overall Progress (weighted by weeks)</t>
  </si>
  <si>
    <t xml:space="preserve">P0 skills completed</t>
  </si>
  <si>
    <t xml:space="preserve">Total planned weeks</t>
  </si>
  <si>
    <t xml:space="preserve">Total planned hours</t>
  </si>
  <si>
    <t xml:space="preserve">Hours spent so far</t>
  </si>
  <si>
    <t xml:space="preserve">Remaining weeks (not Done/Skipped)</t>
  </si>
  <si>
    <t xml:space="preserve">Estimated finish date</t>
  </si>
  <si>
    <t xml:space="preserve">Assumes the Suggested Weeks pace at your Study Plan hours/week.</t>
  </si>
  <si>
    <t xml:space="preserve">Phase</t>
  </si>
  <si>
    <t xml:space="preserve">Skills</t>
  </si>
  <si>
    <t xml:space="preserve">Done</t>
  </si>
  <si>
    <t xml:space="preserve">Weeks</t>
  </si>
  <si>
    <t xml:space="preserve">Est. Hours</t>
  </si>
  <si>
    <t xml:space="preserve">Progress</t>
  </si>
  <si>
    <t xml:space="preserve">1. Foundations</t>
  </si>
  <si>
    <t xml:space="preserve">2. How Software Is Built</t>
  </si>
  <si>
    <t xml:space="preserve">3. Cloud &amp; Delivery</t>
  </si>
  <si>
    <t xml:space="preserve">4. System Design</t>
  </si>
  <si>
    <t xml:space="preserve">5. Data &amp; Analytics</t>
  </si>
  <si>
    <t xml:space="preserve">6. AI</t>
  </si>
  <si>
    <t xml:space="preserve">7. Product + Tech</t>
  </si>
  <si>
    <t xml:space="preserve">8. Capstone Portfolio</t>
  </si>
  <si>
    <t xml:space="preserve">#</t>
  </si>
  <si>
    <t xml:space="preserve">Category</t>
  </si>
  <si>
    <t xml:space="preserve">Topic</t>
  </si>
  <si>
    <t xml:space="preserve">Skill</t>
  </si>
  <si>
    <t xml:space="preserve">What to Learn</t>
  </si>
  <si>
    <t xml:space="preserve">Level</t>
  </si>
  <si>
    <t xml:space="preserve">Depth Needed</t>
  </si>
  <si>
    <t xml:space="preserve">Priority</t>
  </si>
  <si>
    <t xml:space="preserve">Suggested Weeks</t>
  </si>
  <si>
    <t xml:space="preserve">Status</t>
  </si>
  <si>
    <t xml:space="preserve">Progress %</t>
  </si>
  <si>
    <t xml:space="preserve">Hours Spent</t>
  </si>
  <si>
    <t xml:space="preserve">Start Date</t>
  </si>
  <si>
    <t xml:space="preserve">Completion Date</t>
  </si>
  <si>
    <t xml:space="preserve">Proof of Learning</t>
  </si>
  <si>
    <t xml:space="preserve">Resources</t>
  </si>
  <si>
    <t xml:space="preserve">Notes</t>
  </si>
  <si>
    <t xml:space="preserve">Developer Tools</t>
  </si>
  <si>
    <t xml:space="preserve">Terminal</t>
  </si>
  <si>
    <t xml:space="preserve">Command line basics</t>
  </si>
  <si>
    <t xml:space="preserve">navigating folders, files, running commands, environment variables, package managers (pip, npm)</t>
  </si>
  <si>
    <t xml:space="preserve">Beginner</t>
  </si>
  <si>
    <t xml:space="preserve">Hands-on</t>
  </si>
  <si>
    <t xml:space="preserve">P0</t>
  </si>
  <si>
    <t xml:space="preserve">Create a project folder, install a package and run a script entirely from the terminal</t>
  </si>
  <si>
    <t xml:space="preserve">New topic added in review</t>
  </si>
  <si>
    <t xml:space="preserve">Git/GitHub</t>
  </si>
  <si>
    <t xml:space="preserve">Git fundamentals</t>
  </si>
  <si>
    <t xml:space="preserve">clone, add, commit, push, pull, branches, pull requests, merge conflicts</t>
  </si>
  <si>
    <t xml:space="preserve">Push a repo to GitHub, open a pull request and merge it</t>
  </si>
  <si>
    <t xml:space="preserve">AI Tools</t>
  </si>
  <si>
    <t xml:space="preserve">AI coding assistants</t>
  </si>
  <si>
    <t xml:space="preserve">using Claude Code / Cursor / Copilot to read, explain and write code; reviewing AI output critically</t>
  </si>
  <si>
    <t xml:space="preserve">Have an AI assistant explain an open-source repo and write a 1-page architecture summary</t>
  </si>
  <si>
    <t xml:space="preserve">Web Fundamentals</t>
  </si>
  <si>
    <t xml:space="preserve">HTTP</t>
  </si>
  <si>
    <t xml:space="preserve">How the web works</t>
  </si>
  <si>
    <t xml:space="preserve">HTTP/HTTPS, URLs, methods, status codes, headers, cookies, browser DevTools</t>
  </si>
  <si>
    <t xml:space="preserve">Conversant</t>
  </si>
  <si>
    <t xml:space="preserve">Inspect a website's network tab and explain 5 requests (method, status, payload)</t>
  </si>
  <si>
    <t xml:space="preserve">Networking</t>
  </si>
  <si>
    <t xml:space="preserve">Networking basics</t>
  </si>
  <si>
    <t xml:space="preserve">DNS, IP addresses, ports, what happens when you type a URL, CDN basics</t>
  </si>
  <si>
    <t xml:space="preserve">P1</t>
  </si>
  <si>
    <t xml:space="preserve">Explain end to end what happens when you open a URL</t>
  </si>
  <si>
    <t xml:space="preserve">APIs</t>
  </si>
  <si>
    <t xml:space="preserve">REST APIs</t>
  </si>
  <si>
    <t xml:space="preserve">endpoints, resources, requests/responses, JSON, using Postman</t>
  </si>
  <si>
    <t xml:space="preserve">Call 3 public APIs in Postman (GET and POST)</t>
  </si>
  <si>
    <t xml:space="preserve">API design for PMs</t>
  </si>
  <si>
    <t xml:space="preserve">versioning, pagination, rate limits, webhooks, idempotency, OpenAPI/Swagger docs</t>
  </si>
  <si>
    <t xml:space="preserve">Intermediate</t>
  </si>
  <si>
    <t xml:space="preserve">Read a public API doc (e.g. Stripe) and summarize its design choices</t>
  </si>
  <si>
    <t xml:space="preserve">Databases</t>
  </si>
  <si>
    <t xml:space="preserve">SQL</t>
  </si>
  <si>
    <t xml:space="preserve">SQL fundamentals</t>
  </si>
  <si>
    <t xml:space="preserve">SELECT, WHERE, GROUP BY, ORDER BY, aggregates</t>
  </si>
  <si>
    <t xml:space="preserve">Solve 20 SQL exercises on a practice site</t>
  </si>
  <si>
    <t xml:space="preserve">Joins</t>
  </si>
  <si>
    <t xml:space="preserve">INNER, LEFT, relationships, multi-table queries</t>
  </si>
  <si>
    <t xml:space="preserve">Write 10 join queries on a sample dataset</t>
  </si>
  <si>
    <t xml:space="preserve">Programming</t>
  </si>
  <si>
    <t xml:space="preserve">Python</t>
  </si>
  <si>
    <t xml:space="preserve">Core syntax</t>
  </si>
  <si>
    <t xml:space="preserve">variables, types, conditionals, loops, functions</t>
  </si>
  <si>
    <t xml:space="preserve">Write 5 small functions (e.g. calculator, word counter)</t>
  </si>
  <si>
    <t xml:space="preserve">Data structures</t>
  </si>
  <si>
    <t xml:space="preserve">lists, dicts, sets, tuples, comprehensions</t>
  </si>
  <si>
    <t xml:space="preserve">Clean and summarize a small list of records with dicts</t>
  </si>
  <si>
    <t xml:space="preserve">Error handling</t>
  </si>
  <si>
    <t xml:space="preserve">exceptions, debugging, basic testing</t>
  </si>
  <si>
    <t xml:space="preserve">Add try/except and 3 tests to an earlier script</t>
  </si>
  <si>
    <t xml:space="preserve">Working with files &amp; JSON</t>
  </si>
  <si>
    <t xml:space="preserve">read/write files, JSON, CSV</t>
  </si>
  <si>
    <t xml:space="preserve">Convert a JSON file into a CSV</t>
  </si>
  <si>
    <t xml:space="preserve">APIs with Python</t>
  </si>
  <si>
    <t xml:space="preserve">requests, GET/POST, parsing JSON responses</t>
  </si>
  <si>
    <t xml:space="preserve">Script that calls a public API and saves results to CSV</t>
  </si>
  <si>
    <t xml:space="preserve">Portfolio</t>
  </si>
  <si>
    <t xml:space="preserve">Mini Project</t>
  </si>
  <si>
    <t xml:space="preserve">Mini project 1: API to insights</t>
  </si>
  <si>
    <t xml:space="preserve">Python pulls API data into SQLite, then answer 3 business questions with SQL</t>
  </si>
  <si>
    <t xml:space="preserve">GitHub repo with README explaining the questions and answers</t>
  </si>
  <si>
    <t xml:space="preserve">Engineering Process</t>
  </si>
  <si>
    <t xml:space="preserve">SDLC</t>
  </si>
  <si>
    <t xml:space="preserve">Software development lifecycle</t>
  </si>
  <si>
    <t xml:space="preserve">agile/scrum, sprints, environments (dev/staging/prod), release management, tech debt</t>
  </si>
  <si>
    <t xml:space="preserve">Map how a feature moves from idea to production at your company</t>
  </si>
  <si>
    <t xml:space="preserve">Quality</t>
  </si>
  <si>
    <t xml:space="preserve">Testing &amp; code review</t>
  </si>
  <si>
    <t xml:space="preserve">unit, integration, end-to-end tests, test pyramid, QA, code review etiquette</t>
  </si>
  <si>
    <t xml:space="preserve">Review a real pull request and list what you would test</t>
  </si>
  <si>
    <t xml:space="preserve">Frontend</t>
  </si>
  <si>
    <t xml:space="preserve">Frontend concepts</t>
  </si>
  <si>
    <t xml:space="preserve">HTML/CSS/JS basics, browser rendering, React concepts, SPA vs SSR</t>
  </si>
  <si>
    <t xml:space="preserve">Build a 1-page HTML/JS form that calls an API</t>
  </si>
  <si>
    <t xml:space="preserve">Backend</t>
  </si>
  <si>
    <t xml:space="preserve">Server-side concepts</t>
  </si>
  <si>
    <t xml:space="preserve">services, routing, business logic, middleware, background jobs</t>
  </si>
  <si>
    <t xml:space="preserve">Build a tiny API with 2 endpoints (FastAPI or Express)</t>
  </si>
  <si>
    <t xml:space="preserve">Authentication</t>
  </si>
  <si>
    <t xml:space="preserve">Auth concepts</t>
  </si>
  <si>
    <t xml:space="preserve">sessions, tokens, JWT, OAuth/SSO basics, authentication vs authorization</t>
  </si>
  <si>
    <t xml:space="preserve">Diagram the 'Login with Google' flow</t>
  </si>
  <si>
    <t xml:space="preserve">Database fundamentals</t>
  </si>
  <si>
    <t xml:space="preserve">tables, keys, indexes, transactions, normalization, migrations</t>
  </si>
  <si>
    <t xml:space="preserve">Design a schema for a simple product (users, orders, items)</t>
  </si>
  <si>
    <t xml:space="preserve">NoSQL/Cache</t>
  </si>
  <si>
    <t xml:space="preserve">NoSQL &amp; caching</t>
  </si>
  <si>
    <t xml:space="preserve">MongoDB concepts, Redis, when to use each vs SQL</t>
  </si>
  <si>
    <t xml:space="preserve">Aware</t>
  </si>
  <si>
    <t xml:space="preserve">Write a 1-paragraph SQL vs NoSQL decision for a sample feature</t>
  </si>
  <si>
    <t xml:space="preserve">Architecture</t>
  </si>
  <si>
    <t xml:space="preserve">Monolith vs microservices</t>
  </si>
  <si>
    <t xml:space="preserve">trade-offs, service boundaries, communication (REST, gRPC, events)</t>
  </si>
  <si>
    <t xml:space="preserve">List pros/cons of splitting one service at your company</t>
  </si>
  <si>
    <t xml:space="preserve">Mobile</t>
  </si>
  <si>
    <t xml:space="preserve">Mobile basics</t>
  </si>
  <si>
    <t xml:space="preserve">native vs cross-platform, app store review and release cycles, push notifications, offline</t>
  </si>
  <si>
    <t xml:space="preserve">P2</t>
  </si>
  <si>
    <t xml:space="preserve">Compare release process of web vs mobile in 5 bullets</t>
  </si>
  <si>
    <t xml:space="preserve">Cloud</t>
  </si>
  <si>
    <t xml:space="preserve">Cloud fundamentals</t>
  </si>
  <si>
    <t xml:space="preserve">compute, storage, networking, regions, availability zones, IaaS/PaaS/SaaS</t>
  </si>
  <si>
    <t xml:space="preserve">Explain IaaS vs PaaS vs SaaS with examples</t>
  </si>
  <si>
    <t xml:space="preserve">AWS</t>
  </si>
  <si>
    <t xml:space="preserve">AWS fundamentals</t>
  </si>
  <si>
    <t xml:space="preserve">IAM, EC2, S3, RDS, Lambda, VPC basics, free tier</t>
  </si>
  <si>
    <t xml:space="preserve">Host a static site on S3 using the free tier</t>
  </si>
  <si>
    <t xml:space="preserve">Containers</t>
  </si>
  <si>
    <t xml:space="preserve">Docker</t>
  </si>
  <si>
    <t xml:space="preserve">images, containers, Dockerfile, registries</t>
  </si>
  <si>
    <t xml:space="preserve">Containerize your mini project 1 script</t>
  </si>
  <si>
    <t xml:space="preserve">CI/CD</t>
  </si>
  <si>
    <t xml:space="preserve">Deployment pipelines</t>
  </si>
  <si>
    <t xml:space="preserve">build, test, deploy, environments, rollback, GitHub Actions</t>
  </si>
  <si>
    <t xml:space="preserve">Add a GitHub Actions workflow that runs tests</t>
  </si>
  <si>
    <t xml:space="preserve">Releases</t>
  </si>
  <si>
    <t xml:space="preserve">Feature flags &amp; rollouts</t>
  </si>
  <si>
    <t xml:space="preserve">feature flags, canary releases, blue/green, kill switches, progressive rollout</t>
  </si>
  <si>
    <t xml:space="preserve">Write a rollout plan for a risky feature</t>
  </si>
  <si>
    <t xml:space="preserve">Kubernetes</t>
  </si>
  <si>
    <t xml:space="preserve">Kubernetes concepts</t>
  </si>
  <si>
    <t xml:space="preserve">pods, deployments, services, ingress, scaling (awareness only)</t>
  </si>
  <si>
    <t xml:space="preserve">Explain what Kubernetes solves in 5 sentences</t>
  </si>
  <si>
    <t xml:space="preserve">Operations</t>
  </si>
  <si>
    <t xml:space="preserve">Observability</t>
  </si>
  <si>
    <t xml:space="preserve">logs, metrics, traces, dashboards, alerting, SLIs/SLOs/SLAs</t>
  </si>
  <si>
    <t xml:space="preserve">Define 3 SLOs for a product you use</t>
  </si>
  <si>
    <t xml:space="preserve">Incidents</t>
  </si>
  <si>
    <t xml:space="preserve">Incident management</t>
  </si>
  <si>
    <t xml:space="preserve">on-call, severity levels, incident response, blameless postmortems</t>
  </si>
  <si>
    <t xml:space="preserve">Read 2 public postmortems and summarize lessons</t>
  </si>
  <si>
    <t xml:space="preserve">Security</t>
  </si>
  <si>
    <t xml:space="preserve">Security &amp; privacy basics</t>
  </si>
  <si>
    <t xml:space="preserve">OWASP Top 10 (high level), encryption at rest/in transit, secrets, RBAC, PII, GDPR</t>
  </si>
  <si>
    <t xml:space="preserve">Write a security/privacy checklist for a new feature</t>
  </si>
  <si>
    <t xml:space="preserve">Cost</t>
  </si>
  <si>
    <t xml:space="preserve">Cloud cost &amp; FinOps</t>
  </si>
  <si>
    <t xml:space="preserve">pricing models, what drives the bill, on-demand vs reserved, cost per user</t>
  </si>
  <si>
    <t xml:space="preserve">Estimate monthly AWS cost for a simple app with the AWS calculator</t>
  </si>
  <si>
    <t xml:space="preserve">System Design</t>
  </si>
  <si>
    <t xml:space="preserve">System design basics</t>
  </si>
  <si>
    <t xml:space="preserve">requirements, components, data flow, trade-offs</t>
  </si>
  <si>
    <t xml:space="preserve">Draw an architecture diagram of a product you use</t>
  </si>
  <si>
    <t xml:space="preserve">Scalability</t>
  </si>
  <si>
    <t xml:space="preserve">Scaling systems</t>
  </si>
  <si>
    <t xml:space="preserve">horizontal/vertical scaling, load balancing, stateless services</t>
  </si>
  <si>
    <t xml:space="preserve">Explain how you'd handle 10x traffic for a sample app</t>
  </si>
  <si>
    <t xml:space="preserve">Performance</t>
  </si>
  <si>
    <t xml:space="preserve">Caching &amp; latency</t>
  </si>
  <si>
    <t xml:space="preserve">CDNs, caching layers, latency, bottlenecks</t>
  </si>
  <si>
    <t xml:space="preserve">Identify 3 caching opportunities in your diagram</t>
  </si>
  <si>
    <t xml:space="preserve">Reliability</t>
  </si>
  <si>
    <t xml:space="preserve">Reliability concepts</t>
  </si>
  <si>
    <t xml:space="preserve">availability, fault tolerance, redundancy, backups, disaster recovery</t>
  </si>
  <si>
    <t xml:space="preserve">Write a failure-mode list for your diagram</t>
  </si>
  <si>
    <t xml:space="preserve">Async Systems</t>
  </si>
  <si>
    <t xml:space="preserve">Queues &amp; events</t>
  </si>
  <si>
    <t xml:space="preserve">message queues, event-driven architecture, workers, retries</t>
  </si>
  <si>
    <t xml:space="preserve">Redesign one sync flow as async and list trade-offs</t>
  </si>
  <si>
    <t xml:space="preserve">Mini project 2: design walkthrough</t>
  </si>
  <si>
    <t xml:space="preserve">full system design of a known product (e.g. food delivery) with trade-offs</t>
  </si>
  <si>
    <t xml:space="preserve">Diagram + 1-page design doc</t>
  </si>
  <si>
    <t xml:space="preserve">Data &amp; Analytics</t>
  </si>
  <si>
    <t xml:space="preserve">Metrics</t>
  </si>
  <si>
    <t xml:space="preserve">Product metrics</t>
  </si>
  <si>
    <t xml:space="preserve">activation, retention, conversion, DAU/MAU, LTV, north star metric</t>
  </si>
  <si>
    <t xml:space="preserve">Define a metrics tree for a product you use</t>
  </si>
  <si>
    <t xml:space="preserve">Data Engineering</t>
  </si>
  <si>
    <t xml:space="preserve">Data engineering basics</t>
  </si>
  <si>
    <t xml:space="preserve">ETL/ELT, data warehouses (BigQuery, Snowflake, Redshift), pipelines, dbt, data quality</t>
  </si>
  <si>
    <t xml:space="preserve">Diagram how an event goes from app to dashboard</t>
  </si>
  <si>
    <t xml:space="preserve">Analytics SQL</t>
  </si>
  <si>
    <t xml:space="preserve">funnels, cohorts, segmentation, time-based analysis, window functions</t>
  </si>
  <si>
    <t xml:space="preserve">Build a funnel and a retention cohort query</t>
  </si>
  <si>
    <t xml:space="preserve">Product Analytics</t>
  </si>
  <si>
    <t xml:space="preserve">Mixpanel/Amplitude</t>
  </si>
  <si>
    <t xml:space="preserve">event tracking plans, funnels, retention, cohorts, paths</t>
  </si>
  <si>
    <t xml:space="preserve">Write a tracking plan for 1 feature</t>
  </si>
  <si>
    <t xml:space="preserve">Experimentation</t>
  </si>
  <si>
    <t xml:space="preserve">A/B testing</t>
  </si>
  <si>
    <t xml:space="preserve">hypothesis, control/treatment, sample size, significance, pitfalls</t>
  </si>
  <si>
    <t xml:space="preserve">Design an experiment with sample size calculation</t>
  </si>
  <si>
    <t xml:space="preserve">AI</t>
  </si>
  <si>
    <t xml:space="preserve">ML Fundamentals</t>
  </si>
  <si>
    <t xml:space="preserve">ML basics</t>
  </si>
  <si>
    <t xml:space="preserve">training/inference, classification, regression, evaluation metrics</t>
  </si>
  <si>
    <t xml:space="preserve">Explain precision vs recall with a product example</t>
  </si>
  <si>
    <t xml:space="preserve">LLMs</t>
  </si>
  <si>
    <t xml:space="preserve">LLM fundamentals</t>
  </si>
  <si>
    <t xml:space="preserve">tokens, context windows, inference, model limitations, model selection</t>
  </si>
  <si>
    <t xml:space="preserve">Compare 2 models on cost, speed and quality for one task</t>
  </si>
  <si>
    <t xml:space="preserve">Prompt engineering</t>
  </si>
  <si>
    <t xml:space="preserve">system prompts, few-shot examples, structured output, prompt iteration</t>
  </si>
  <si>
    <t xml:space="preserve">Iterate a prompt 5 times and document improvements</t>
  </si>
  <si>
    <t xml:space="preserve">GenAI</t>
  </si>
  <si>
    <t xml:space="preserve">Embeddings &amp; vector search</t>
  </si>
  <si>
    <t xml:space="preserve">embeddings, similarity, vector databases</t>
  </si>
  <si>
    <t xml:space="preserve">Build a tiny semantic search over 20 documents</t>
  </si>
  <si>
    <t xml:space="preserve">RAG</t>
  </si>
  <si>
    <t xml:space="preserve">retrieval, chunking, reranking, grounding</t>
  </si>
  <si>
    <t xml:space="preserve">Build a simple Q&amp;A bot over your own notes</t>
  </si>
  <si>
    <t xml:space="preserve">Agents</t>
  </si>
  <si>
    <t xml:space="preserve">AI agents &amp; tool calling</t>
  </si>
  <si>
    <t xml:space="preserve">tools, function calling, workflows, agent loops, MCP</t>
  </si>
  <si>
    <t xml:space="preserve">Build an agent that calls 1 external API</t>
  </si>
  <si>
    <t xml:space="preserve">AI Product</t>
  </si>
  <si>
    <t xml:space="preserve">AI evaluation &amp; guardrails</t>
  </si>
  <si>
    <t xml:space="preserve">quality, hallucinations, evals, safety, cost/latency</t>
  </si>
  <si>
    <t xml:space="preserve">Create a 20-case eval set for your Q&amp;A bot</t>
  </si>
  <si>
    <t xml:space="preserve">Product + Tech</t>
  </si>
  <si>
    <t xml:space="preserve">Technical PM</t>
  </si>
  <si>
    <t xml:space="preserve">Technical requirements</t>
  </si>
  <si>
    <t xml:space="preserve">turn product requirements into technical requirements, acceptance criteria, non-functional requirements</t>
  </si>
  <si>
    <t xml:space="preserve">Write a PRD + technical requirements for 1 feature</t>
  </si>
  <si>
    <t xml:space="preserve">Read architecture diagrams</t>
  </si>
  <si>
    <t xml:space="preserve">identify components, dependencies, bottlenecks</t>
  </si>
  <si>
    <t xml:space="preserve">Annotate a real architecture diagram with risks</t>
  </si>
  <si>
    <t xml:space="preserve">Writing</t>
  </si>
  <si>
    <t xml:space="preserve">Technical writing</t>
  </si>
  <si>
    <t xml:space="preserve">tech specs, ADRs (architecture decision records), API docs, release notes</t>
  </si>
  <si>
    <t xml:space="preserve">Write 1 ADR for a past decision</t>
  </si>
  <si>
    <t xml:space="preserve">Estimation</t>
  </si>
  <si>
    <t xml:space="preserve">Technical estimation</t>
  </si>
  <si>
    <t xml:space="preserve">scope, dependencies, complexity, risks</t>
  </si>
  <si>
    <t xml:space="preserve">Break a feature into tasks with estimates and risks</t>
  </si>
  <si>
    <t xml:space="preserve">Trade-offs</t>
  </si>
  <si>
    <t xml:space="preserve">Product/engineering trade-offs</t>
  </si>
  <si>
    <t xml:space="preserve">speed vs quality, build vs buy, cost vs scale</t>
  </si>
  <si>
    <t xml:space="preserve">Write a build vs buy memo</t>
  </si>
  <si>
    <t xml:space="preserve">Project</t>
  </si>
  <si>
    <t xml:space="preserve">Build a small product</t>
  </si>
  <si>
    <t xml:space="preserve">frontend + API + database + deployment on AWS (use AI coding assistants)</t>
  </si>
  <si>
    <t xml:space="preserve">Live URL + GitHub repo</t>
  </si>
  <si>
    <t xml:space="preserve">Add analytics</t>
  </si>
  <si>
    <t xml:space="preserve">instrument events and create a product dashboard</t>
  </si>
  <si>
    <t xml:space="preserve">Dashboard with funnel and retention</t>
  </si>
  <si>
    <t xml:space="preserve">Add an AI feature</t>
  </si>
  <si>
    <t xml:space="preserve">LLM/RAG feature with evaluation</t>
  </si>
  <si>
    <t xml:space="preserve">AI feature + eval results</t>
  </si>
  <si>
    <t xml:space="preserve">Case Study</t>
  </si>
  <si>
    <t xml:space="preserve">Document the product</t>
  </si>
  <si>
    <t xml:space="preserve">PRD, architecture, metrics, decisions, trade-offs</t>
  </si>
  <si>
    <t xml:space="preserve">Public case study (Notion/blog/GitHub)</t>
  </si>
  <si>
    <t xml:space="preserve">Item</t>
  </si>
  <si>
    <t xml:space="preserve">Recommendation</t>
  </si>
  <si>
    <t xml:space="preserve">Weekly plan</t>
  </si>
  <si>
    <t xml:space="preserve">Recommended while studying GMAT</t>
  </si>
  <si>
    <t xml:space="preserve">GMAT</t>
  </si>
  <si>
    <t xml:space="preserve">10–12 hrs/week</t>
  </si>
  <si>
    <t xml:space="preserve">Technical learning</t>
  </si>
  <si>
    <t xml:space="preserve">3–4 hrs/week</t>
  </si>
  <si>
    <t xml:space="preserve">PM/product practice</t>
  </si>
  <si>
    <t xml:space="preserve">1 hr/week</t>
  </si>
  <si>
    <t xml:space="preserve">Rule</t>
  </si>
  <si>
    <t xml:space="preserve">Keep tech consistent; increase intensity after GMAT</t>
  </si>
  <si>
    <t xml:space="preserve">Learn breadth first; don't try to become a full-stack engineer</t>
  </si>
  <si>
    <t xml:space="preserve">Order</t>
  </si>
  <si>
    <t xml:space="preserve">Follow the # column in Tech Roadmap; P0 skills first if short on time</t>
  </si>
  <si>
    <t xml:space="preserve">Practice</t>
  </si>
  <si>
    <t xml:space="preserve">Finish each skill's Proof of Learning before marking it Done</t>
  </si>
  <si>
    <t xml:space="preserve">Inputs (edit yellow cells)</t>
  </si>
  <si>
    <t xml:space="preserve">Tech hours per week</t>
  </si>
  <si>
    <t xml:space="preserve">Midpoint of your 3–4 hrs/week. Drives Est. Hours and finish date.</t>
  </si>
  <si>
    <t xml:space="preserve">Plan start date</t>
  </si>
  <si>
    <t xml:space="preserve">Enter the date you start Phase 1.</t>
  </si>
  <si>
    <t xml:space="preserve">GMAT exam date</t>
  </si>
  <si>
    <t xml:space="preserve">Enter your exam date; plan to raise tech hours after it.</t>
  </si>
  <si>
    <t xml:space="preserve">Tech hours per week after GMAT</t>
  </si>
  <si>
    <t xml:space="preserve">Assumption: roughly double once GMAT is done. Change as needed.</t>
  </si>
  <si>
    <t xml:space="preserve">Column / Term</t>
  </si>
  <si>
    <t xml:space="preserve">Meaning</t>
  </si>
  <si>
    <t xml:space="preserve">How to use</t>
  </si>
  <si>
    <t xml:space="preserve">Work top to bottom by #. Update Status, Progress % and Hours Spent in Tech Roadmap; Dashboard updates itself.</t>
  </si>
  <si>
    <t xml:space="preserve">Editable cells</t>
  </si>
  <si>
    <t xml:space="preserve">Tech Roadmap: Status, Progress %, Hours Spent, Start/Completion Date, Resources, Notes. Study Plan: yellow input cells.</t>
  </si>
  <si>
    <t xml:space="preserve">Depth: Aware</t>
  </si>
  <si>
    <t xml:space="preserve">Know what it is and why it matters; can follow an engineering conversation.</t>
  </si>
  <si>
    <t xml:space="preserve">Depth: Conversant</t>
  </si>
  <si>
    <t xml:space="preserve">Can explain it, ask good questions, and reason about trade-offs.</t>
  </si>
  <si>
    <t xml:space="preserve">Depth: Hands-on</t>
  </si>
  <si>
    <t xml:space="preserve">Can actually do it yourself (write the query, call the API, build the prototype).</t>
  </si>
  <si>
    <t xml:space="preserve">Priority: P0</t>
  </si>
  <si>
    <t xml:space="preserve">Core for any technical PM. Do not skip.</t>
  </si>
  <si>
    <t xml:space="preserve">Priority: P1</t>
  </si>
  <si>
    <t xml:space="preserve">Important; do after P0 skills in the same phase.</t>
  </si>
  <si>
    <t xml:space="preserve">Priority: P2</t>
  </si>
  <si>
    <t xml:space="preserve">Nice to have; skip or skim if short on time, or if your future niche does not need it.</t>
  </si>
  <si>
    <t xml:space="preserve">Calendar weeks at the Study Plan tech hours/week.</t>
  </si>
  <si>
    <t xml:space="preserve">Suggested Weeks x Study Plan 'Tech hours per week'.</t>
  </si>
  <si>
    <t xml:space="preserve">A small output that shows you can apply the skill. Finish it before marking Done.</t>
  </si>
  <si>
    <t xml:space="preserve">Overall Progress</t>
  </si>
  <si>
    <t xml:space="preserve">Weighted by Suggested Weeks, so a 4-week project counts more than a 1-week topic.</t>
  </si>
  <si>
    <t xml:space="preserve">Cloud choice</t>
  </si>
  <si>
    <t xml:space="preserve">AWS is the default (most learning material). If your company uses Azure, map: EC2=VM, S3=Blob Storage, IAM=Entra ID, Lambda=Functions.</t>
  </si>
  <si>
    <t xml:space="preserve">Niche later</t>
  </si>
  <si>
    <t xml:space="preserve">After Phase 7, pick a direction (AI PM, Platform/API PM, Data PM, Growth PM) and add a deeper phase for it.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</si>
</sst>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%"/>
    <numFmt numFmtId="167" formatCode="@"/>
    <numFmt numFmtId="168" formatCode="0.0"/>
    <numFmt numFmtId="169" formatCode="dd\-mmm\-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sz val="11"/>
      <color rgb="FF0000FF"/>
      <name val="Calibri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E7E6E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7F7F7F"/>
      </font>
      <fill>
        <patternFill>
          <bgColor rgb="FFE7E6E6"/>
        </patternFill>
      </fill>
    </dxf>
    <dxf>
      <font>
        <b val="1"/>
        <color rgb="FFC00000"/>
      </font>
    </dxf>
  </dxfs>
  <colors>
    <indexedColors>
      <rgbColor rgb="FF000000"/>
      <rgbColor rgb="FFE7E6E6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4" t="n">
        <f aca="false">COUNTA('Tech Roadmap'!$E$2:$E$200)</f>
        <v>61</v>
      </c>
    </row>
    <row r="5" customFormat="false" ht="15" hidden="false" customHeight="false" outlineLevel="0" collapsed="false">
      <c r="A5" s="3" t="s">
        <v>4</v>
      </c>
      <c r="B5" s="4" t="n">
        <f aca="false">COUNTIF('Tech Roadmap'!$L$2:$L$200,"Done")</f>
        <v>0</v>
      </c>
    </row>
    <row r="6" customFormat="false" ht="15" hidden="false" customHeight="false" outlineLevel="0" collapsed="false">
      <c r="A6" s="3" t="s">
        <v>5</v>
      </c>
      <c r="B6" s="4" t="n">
        <f aca="false">COUNTIF('Tech Roadmap'!$L$2:$L$200,"In Progress")</f>
        <v>0</v>
      </c>
    </row>
    <row r="7" customFormat="false" ht="15" hidden="false" customHeight="false" outlineLevel="0" collapsed="false">
      <c r="A7" s="3" t="s">
        <v>6</v>
      </c>
      <c r="B7" s="4" t="n">
        <f aca="false">COUNTIF('Tech Roadmap'!$L$2:$L$200,"Not Started")</f>
        <v>61</v>
      </c>
    </row>
    <row r="8" customFormat="false" ht="15" hidden="false" customHeight="false" outlineLevel="0" collapsed="false">
      <c r="A8" s="3" t="s">
        <v>7</v>
      </c>
      <c r="B8" s="4" t="n">
        <f aca="false">COUNTIF('Tech Roadmap'!$L$2:$L$200,"Skipped")</f>
        <v>0</v>
      </c>
    </row>
    <row r="9" customFormat="false" ht="15" hidden="false" customHeight="false" outlineLevel="0" collapsed="false">
      <c r="A9" s="3" t="s">
        <v>8</v>
      </c>
      <c r="B9" s="5" t="n">
        <f aca="false">IFERROR(SUMPRODUCT('Tech Roadmap'!$J$2:$J$200,'Tech Roadmap'!$M$2:$M$200)/SUM('Tech Roadmap'!$J$2:$J$200),0)</f>
        <v>0</v>
      </c>
    </row>
    <row r="10" customFormat="false" ht="15" hidden="false" customHeight="false" outlineLevel="0" collapsed="false">
      <c r="A10" s="3" t="s">
        <v>9</v>
      </c>
      <c r="B10" s="6" t="str">
        <f aca="false">COUNTIFS('Tech Roadmap'!$I$2:$I$200,"P0",'Tech Roadmap'!$L$2:$L$200,"Done")&amp;" of "&amp;COUNTIF('Tech Roadmap'!$I$2:$I$200,"P0")</f>
        <v>0 of 39</v>
      </c>
    </row>
    <row r="11" customFormat="false" ht="15" hidden="false" customHeight="false" outlineLevel="0" collapsed="false">
      <c r="A11" s="3" t="s">
        <v>10</v>
      </c>
      <c r="B11" s="4" t="n">
        <f aca="false">SUM('Tech Roadmap'!$J$2:$J$200)</f>
        <v>84</v>
      </c>
    </row>
    <row r="12" customFormat="false" ht="15" hidden="false" customHeight="false" outlineLevel="0" collapsed="false">
      <c r="A12" s="3" t="s">
        <v>11</v>
      </c>
      <c r="B12" s="4" t="n">
        <f aca="false">SUM('Tech Roadmap'!$K$2:$K$200)</f>
        <v>294</v>
      </c>
    </row>
    <row r="13" customFormat="false" ht="15" hidden="false" customHeight="false" outlineLevel="0" collapsed="false">
      <c r="A13" s="3" t="s">
        <v>12</v>
      </c>
      <c r="B13" s="7" t="n">
        <f aca="false">SUM('Tech Roadmap'!$N$2:$N$200)</f>
        <v>0</v>
      </c>
    </row>
    <row r="14" customFormat="false" ht="15" hidden="false" customHeight="false" outlineLevel="0" collapsed="false">
      <c r="A14" s="3" t="s">
        <v>13</v>
      </c>
      <c r="B14" s="4" t="n">
        <f aca="false">SUMIFS('Tech Roadmap'!$J$2:$J$200,'Tech Roadmap'!$L$2:$L$200,"&lt;&gt;Done",'Tech Roadmap'!$L$2:$L$200,"&lt;&gt;Skipped")</f>
        <v>84</v>
      </c>
    </row>
    <row r="15" customFormat="false" ht="15" hidden="false" customHeight="false" outlineLevel="0" collapsed="false">
      <c r="A15" s="3" t="s">
        <v>14</v>
      </c>
      <c r="B15" s="8" t="str">
        <f aca="false">IF('Study Plan'!$B$13="","Set start date in Study Plan",'Study Plan'!$B$13+B11*7)</f>
        <v>Set start date in Study Plan</v>
      </c>
      <c r="C15" s="9" t="s">
        <v>15</v>
      </c>
    </row>
    <row r="18" customFormat="false" ht="15" hidden="false" customHeight="false" outlineLevel="0" collapsed="false">
      <c r="A18" s="10" t="s">
        <v>16</v>
      </c>
      <c r="B18" s="10" t="s">
        <v>17</v>
      </c>
      <c r="C18" s="10" t="s">
        <v>18</v>
      </c>
      <c r="D18" s="10" t="s">
        <v>19</v>
      </c>
      <c r="E18" s="10" t="s">
        <v>20</v>
      </c>
      <c r="F18" s="10" t="s">
        <v>21</v>
      </c>
    </row>
    <row r="19" customFormat="false" ht="15" hidden="false" customHeight="false" outlineLevel="0" collapsed="false">
      <c r="A19" s="11" t="s">
        <v>22</v>
      </c>
      <c r="B19" s="11" t="n">
        <f aca="false">COUNTIF('Tech Roadmap'!$B$2:$B$200,A19)</f>
        <v>15</v>
      </c>
      <c r="C19" s="11" t="n">
        <f aca="false">COUNTIFS('Tech Roadmap'!$B$2:$B$200,A19,'Tech Roadmap'!$L$2:$L$200,"Done")</f>
        <v>0</v>
      </c>
      <c r="D19" s="11" t="n">
        <f aca="false">SUMIF('Tech Roadmap'!$B$2:$B$200,A19,'Tech Roadmap'!$J$2:$J$200)</f>
        <v>16</v>
      </c>
      <c r="E19" s="12" t="n">
        <f aca="false">SUMIF('Tech Roadmap'!$B$2:$B$200,A19,'Tech Roadmap'!$K$2:$K$200)</f>
        <v>56</v>
      </c>
      <c r="F19" s="13" t="n">
        <f aca="false">IFERROR(SUMPRODUCT(('Tech Roadmap'!$B$2:$B$200=A19)*'Tech Roadmap'!$J$2:$J$200*'Tech Roadmap'!$M$2:$M$200)/D19,0)</f>
        <v>0</v>
      </c>
    </row>
    <row r="20" customFormat="false" ht="15" hidden="false" customHeight="false" outlineLevel="0" collapsed="false">
      <c r="A20" s="11" t="s">
        <v>23</v>
      </c>
      <c r="B20" s="11" t="n">
        <f aca="false">COUNTIF('Tech Roadmap'!$B$2:$B$200,A20)</f>
        <v>9</v>
      </c>
      <c r="C20" s="11" t="n">
        <f aca="false">COUNTIFS('Tech Roadmap'!$B$2:$B$200,A20,'Tech Roadmap'!$L$2:$L$200,"Done")</f>
        <v>0</v>
      </c>
      <c r="D20" s="11" t="n">
        <f aca="false">SUMIF('Tech Roadmap'!$B$2:$B$200,A20,'Tech Roadmap'!$J$2:$J$200)</f>
        <v>11</v>
      </c>
      <c r="E20" s="12" t="n">
        <f aca="false">SUMIF('Tech Roadmap'!$B$2:$B$200,A20,'Tech Roadmap'!$K$2:$K$200)</f>
        <v>38.5</v>
      </c>
      <c r="F20" s="13" t="n">
        <f aca="false">IFERROR(SUMPRODUCT(('Tech Roadmap'!$B$2:$B$200=A20)*'Tech Roadmap'!$J$2:$J$200*'Tech Roadmap'!$M$2:$M$200)/D20,0)</f>
        <v>0</v>
      </c>
    </row>
    <row r="21" customFormat="false" ht="15" hidden="false" customHeight="false" outlineLevel="0" collapsed="false">
      <c r="A21" s="11" t="s">
        <v>24</v>
      </c>
      <c r="B21" s="11" t="n">
        <f aca="false">COUNTIF('Tech Roadmap'!$B$2:$B$200,A21)</f>
        <v>10</v>
      </c>
      <c r="C21" s="11" t="n">
        <f aca="false">COUNTIFS('Tech Roadmap'!$B$2:$B$200,A21,'Tech Roadmap'!$L$2:$L$200,"Done")</f>
        <v>0</v>
      </c>
      <c r="D21" s="11" t="n">
        <f aca="false">SUMIF('Tech Roadmap'!$B$2:$B$200,A21,'Tech Roadmap'!$J$2:$J$200)</f>
        <v>12</v>
      </c>
      <c r="E21" s="12" t="n">
        <f aca="false">SUMIF('Tech Roadmap'!$B$2:$B$200,A21,'Tech Roadmap'!$K$2:$K$200)</f>
        <v>42</v>
      </c>
      <c r="F21" s="13" t="n">
        <f aca="false">IFERROR(SUMPRODUCT(('Tech Roadmap'!$B$2:$B$200=A21)*'Tech Roadmap'!$J$2:$J$200*'Tech Roadmap'!$M$2:$M$200)/D21,0)</f>
        <v>0</v>
      </c>
    </row>
    <row r="22" customFormat="false" ht="15" hidden="false" customHeight="false" outlineLevel="0" collapsed="false">
      <c r="A22" s="11" t="s">
        <v>25</v>
      </c>
      <c r="B22" s="11" t="n">
        <f aca="false">COUNTIF('Tech Roadmap'!$B$2:$B$200,A22)</f>
        <v>6</v>
      </c>
      <c r="C22" s="11" t="n">
        <f aca="false">COUNTIFS('Tech Roadmap'!$B$2:$B$200,A22,'Tech Roadmap'!$L$2:$L$200,"Done")</f>
        <v>0</v>
      </c>
      <c r="D22" s="11" t="n">
        <f aca="false">SUMIF('Tech Roadmap'!$B$2:$B$200,A22,'Tech Roadmap'!$J$2:$J$200)</f>
        <v>7</v>
      </c>
      <c r="E22" s="12" t="n">
        <f aca="false">SUMIF('Tech Roadmap'!$B$2:$B$200,A22,'Tech Roadmap'!$K$2:$K$200)</f>
        <v>24.5</v>
      </c>
      <c r="F22" s="13" t="n">
        <f aca="false">IFERROR(SUMPRODUCT(('Tech Roadmap'!$B$2:$B$200=A22)*'Tech Roadmap'!$J$2:$J$200*'Tech Roadmap'!$M$2:$M$200)/D22,0)</f>
        <v>0</v>
      </c>
    </row>
    <row r="23" customFormat="false" ht="15" hidden="false" customHeight="false" outlineLevel="0" collapsed="false">
      <c r="A23" s="11" t="s">
        <v>26</v>
      </c>
      <c r="B23" s="11" t="n">
        <f aca="false">COUNTIF('Tech Roadmap'!$B$2:$B$200,A23)</f>
        <v>5</v>
      </c>
      <c r="C23" s="11" t="n">
        <f aca="false">COUNTIFS('Tech Roadmap'!$B$2:$B$200,A23,'Tech Roadmap'!$L$2:$L$200,"Done")</f>
        <v>0</v>
      </c>
      <c r="D23" s="11" t="n">
        <f aca="false">SUMIF('Tech Roadmap'!$B$2:$B$200,A23,'Tech Roadmap'!$J$2:$J$200)</f>
        <v>9</v>
      </c>
      <c r="E23" s="12" t="n">
        <f aca="false">SUMIF('Tech Roadmap'!$B$2:$B$200,A23,'Tech Roadmap'!$K$2:$K$200)</f>
        <v>31.5</v>
      </c>
      <c r="F23" s="13" t="n">
        <f aca="false">IFERROR(SUMPRODUCT(('Tech Roadmap'!$B$2:$B$200=A23)*'Tech Roadmap'!$J$2:$J$200*'Tech Roadmap'!$M$2:$M$200)/D23,0)</f>
        <v>0</v>
      </c>
    </row>
    <row r="24" customFormat="false" ht="15" hidden="false" customHeight="false" outlineLevel="0" collapsed="false">
      <c r="A24" s="11" t="s">
        <v>27</v>
      </c>
      <c r="B24" s="11" t="n">
        <f aca="false">COUNTIF('Tech Roadmap'!$B$2:$B$200,A24)</f>
        <v>7</v>
      </c>
      <c r="C24" s="11" t="n">
        <f aca="false">COUNTIFS('Tech Roadmap'!$B$2:$B$200,A24,'Tech Roadmap'!$L$2:$L$200,"Done")</f>
        <v>0</v>
      </c>
      <c r="D24" s="11" t="n">
        <f aca="false">SUMIF('Tech Roadmap'!$B$2:$B$200,A24,'Tech Roadmap'!$J$2:$J$200)</f>
        <v>11</v>
      </c>
      <c r="E24" s="12" t="n">
        <f aca="false">SUMIF('Tech Roadmap'!$B$2:$B$200,A24,'Tech Roadmap'!$K$2:$K$200)</f>
        <v>38.5</v>
      </c>
      <c r="F24" s="13" t="n">
        <f aca="false">IFERROR(SUMPRODUCT(('Tech Roadmap'!$B$2:$B$200=A24)*'Tech Roadmap'!$J$2:$J$200*'Tech Roadmap'!$M$2:$M$200)/D24,0)</f>
        <v>0</v>
      </c>
    </row>
    <row r="25" customFormat="false" ht="15" hidden="false" customHeight="false" outlineLevel="0" collapsed="false">
      <c r="A25" s="11" t="s">
        <v>28</v>
      </c>
      <c r="B25" s="11" t="n">
        <f aca="false">COUNTIF('Tech Roadmap'!$B$2:$B$200,A25)</f>
        <v>5</v>
      </c>
      <c r="C25" s="11" t="n">
        <f aca="false">COUNTIFS('Tech Roadmap'!$B$2:$B$200,A25,'Tech Roadmap'!$L$2:$L$200,"Done")</f>
        <v>0</v>
      </c>
      <c r="D25" s="11" t="n">
        <f aca="false">SUMIF('Tech Roadmap'!$B$2:$B$200,A25,'Tech Roadmap'!$J$2:$J$200)</f>
        <v>7</v>
      </c>
      <c r="E25" s="12" t="n">
        <f aca="false">SUMIF('Tech Roadmap'!$B$2:$B$200,A25,'Tech Roadmap'!$K$2:$K$200)</f>
        <v>24.5</v>
      </c>
      <c r="F25" s="13" t="n">
        <f aca="false">IFERROR(SUMPRODUCT(('Tech Roadmap'!$B$2:$B$200=A25)*'Tech Roadmap'!$J$2:$J$200*'Tech Roadmap'!$M$2:$M$200)/D25,0)</f>
        <v>0</v>
      </c>
    </row>
    <row r="26" customFormat="false" ht="15" hidden="false" customHeight="false" outlineLevel="0" collapsed="false">
      <c r="A26" s="11" t="s">
        <v>29</v>
      </c>
      <c r="B26" s="11" t="n">
        <f aca="false">COUNTIF('Tech Roadmap'!$B$2:$B$200,A26)</f>
        <v>4</v>
      </c>
      <c r="C26" s="11" t="n">
        <f aca="false">COUNTIFS('Tech Roadmap'!$B$2:$B$200,A26,'Tech Roadmap'!$L$2:$L$200,"Done")</f>
        <v>0</v>
      </c>
      <c r="D26" s="11" t="n">
        <f aca="false">SUMIF('Tech Roadmap'!$B$2:$B$200,A26,'Tech Roadmap'!$J$2:$J$200)</f>
        <v>11</v>
      </c>
      <c r="E26" s="12" t="n">
        <f aca="false">SUMIF('Tech Roadmap'!$B$2:$B$200,A26,'Tech Roadmap'!$K$2:$K$200)</f>
        <v>38.5</v>
      </c>
      <c r="F26" s="13" t="n">
        <f aca="false">IFERROR(SUMPRODUCT(('Tech Roadmap'!$B$2:$B$200=A26)*'Tech Roadmap'!$J$2:$J$200*'Tech Roadmap'!$M$2:$M$200)/D26,0)</f>
        <v>0</v>
      </c>
    </row>
  </sheetData>
  <conditionalFormatting sqref="B9">
    <cfRule type="dataBar" priority="2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{28CCF2B7-5861-466E-ABDF-F09F32AD46D0}</x14:id>
        </ext>
      </extLst>
    </cfRule>
  </conditionalFormatting>
  <conditionalFormatting sqref="F19:F26">
    <cfRule type="dataBar" priority="3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{CA96DD23-F0EA-4D2D-86BF-C917EA32ED60}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CCF2B7-5861-466E-ABDF-F09F32AD46D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B9</xm:sqref>
        </x14:conditionalFormatting>
        <x14:conditionalFormatting xmlns:xm="http://schemas.microsoft.com/office/excel/2006/main">
          <x14:cfRule type="dataBar" id="{CA96DD23-F0EA-4D2D-86BF-C917EA32ED6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F19:F26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55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4" min="13" style="0" width="11"/>
    <col collapsed="false" customWidth="true" hidden="false" outlineLevel="0" max="15" min="15" style="0" width="13"/>
    <col collapsed="false" customWidth="true" hidden="false" outlineLevel="0" max="16" min="16" style="0" width="15"/>
    <col collapsed="false" customWidth="true" hidden="false" outlineLevel="0" max="17" min="17" style="0" width="45"/>
    <col collapsed="false" customWidth="true" hidden="false" outlineLevel="0" max="18" min="18" style="0" width="35"/>
    <col collapsed="false" customWidth="true" hidden="false" outlineLevel="0" max="19" min="19" style="0" width="30"/>
  </cols>
  <sheetData>
    <row r="1" customFormat="false" ht="31.5" hidden="false" customHeight="true" outlineLevel="0" collapsed="false">
      <c r="A1" s="14" t="s">
        <v>30</v>
      </c>
      <c r="B1" s="14" t="s">
        <v>16</v>
      </c>
      <c r="C1" s="14" t="s">
        <v>31</v>
      </c>
      <c r="D1" s="14" t="s">
        <v>32</v>
      </c>
      <c r="E1" s="14" t="s">
        <v>33</v>
      </c>
      <c r="F1" s="14" t="s">
        <v>34</v>
      </c>
      <c r="G1" s="14" t="s">
        <v>35</v>
      </c>
      <c r="H1" s="14" t="s">
        <v>36</v>
      </c>
      <c r="I1" s="14" t="s">
        <v>37</v>
      </c>
      <c r="J1" s="14" t="s">
        <v>38</v>
      </c>
      <c r="K1" s="14" t="s">
        <v>20</v>
      </c>
      <c r="L1" s="14" t="s">
        <v>39</v>
      </c>
      <c r="M1" s="14" t="s">
        <v>40</v>
      </c>
      <c r="N1" s="14" t="s">
        <v>41</v>
      </c>
      <c r="O1" s="14" t="s">
        <v>42</v>
      </c>
      <c r="P1" s="14" t="s">
        <v>43</v>
      </c>
      <c r="Q1" s="14" t="s">
        <v>44</v>
      </c>
      <c r="R1" s="14" t="s">
        <v>45</v>
      </c>
      <c r="S1" s="14" t="s">
        <v>46</v>
      </c>
    </row>
    <row r="2" customFormat="false" ht="28.35" hidden="false" customHeight="false" outlineLevel="0" collapsed="false">
      <c r="A2" s="3" t="n">
        <v>1</v>
      </c>
      <c r="B2" s="3" t="s">
        <v>22</v>
      </c>
      <c r="C2" s="3" t="s">
        <v>47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n">
        <v>1</v>
      </c>
      <c r="K2" s="7" t="n">
        <f aca="false">J2*'Study Plan'!$B$12</f>
        <v>3.5</v>
      </c>
      <c r="L2" s="3" t="s">
        <v>6</v>
      </c>
      <c r="M2" s="15" t="n">
        <v>0</v>
      </c>
      <c r="N2" s="7"/>
      <c r="O2" s="8"/>
      <c r="P2" s="8"/>
      <c r="Q2" s="3" t="s">
        <v>54</v>
      </c>
      <c r="R2" s="3"/>
      <c r="S2" s="3" t="s">
        <v>55</v>
      </c>
    </row>
    <row r="3" customFormat="false" ht="28.35" hidden="false" customHeight="false" outlineLevel="0" collapsed="false">
      <c r="A3" s="3" t="n">
        <v>2</v>
      </c>
      <c r="B3" s="3" t="s">
        <v>22</v>
      </c>
      <c r="C3" s="3" t="s">
        <v>47</v>
      </c>
      <c r="D3" s="3" t="s">
        <v>56</v>
      </c>
      <c r="E3" s="3" t="s">
        <v>57</v>
      </c>
      <c r="F3" s="3" t="s">
        <v>58</v>
      </c>
      <c r="G3" s="3" t="s">
        <v>51</v>
      </c>
      <c r="H3" s="3" t="s">
        <v>52</v>
      </c>
      <c r="I3" s="3" t="s">
        <v>53</v>
      </c>
      <c r="J3" s="3" t="n">
        <v>1</v>
      </c>
      <c r="K3" s="7" t="n">
        <f aca="false">J3*'Study Plan'!$B$12</f>
        <v>3.5</v>
      </c>
      <c r="L3" s="3" t="s">
        <v>6</v>
      </c>
      <c r="M3" s="15" t="n">
        <v>0</v>
      </c>
      <c r="N3" s="7"/>
      <c r="O3" s="8"/>
      <c r="P3" s="8"/>
      <c r="Q3" s="3" t="s">
        <v>59</v>
      </c>
      <c r="R3" s="3"/>
      <c r="S3" s="3"/>
    </row>
    <row r="4" customFormat="false" ht="28.35" hidden="false" customHeight="false" outlineLevel="0" collapsed="false">
      <c r="A4" s="3" t="n">
        <v>3</v>
      </c>
      <c r="B4" s="3" t="s">
        <v>22</v>
      </c>
      <c r="C4" s="3" t="s">
        <v>47</v>
      </c>
      <c r="D4" s="3" t="s">
        <v>60</v>
      </c>
      <c r="E4" s="3" t="s">
        <v>61</v>
      </c>
      <c r="F4" s="3" t="s">
        <v>62</v>
      </c>
      <c r="G4" s="3" t="s">
        <v>51</v>
      </c>
      <c r="H4" s="3" t="s">
        <v>52</v>
      </c>
      <c r="I4" s="3" t="s">
        <v>53</v>
      </c>
      <c r="J4" s="3" t="n">
        <v>1</v>
      </c>
      <c r="K4" s="7" t="n">
        <f aca="false">J4*'Study Plan'!$B$12</f>
        <v>3.5</v>
      </c>
      <c r="L4" s="3" t="s">
        <v>6</v>
      </c>
      <c r="M4" s="15" t="n">
        <v>0</v>
      </c>
      <c r="N4" s="7"/>
      <c r="O4" s="8"/>
      <c r="P4" s="8"/>
      <c r="Q4" s="3" t="s">
        <v>63</v>
      </c>
      <c r="R4" s="3"/>
      <c r="S4" s="3" t="s">
        <v>55</v>
      </c>
    </row>
    <row r="5" customFormat="false" ht="28.35" hidden="false" customHeight="false" outlineLevel="0" collapsed="false">
      <c r="A5" s="3" t="n">
        <v>4</v>
      </c>
      <c r="B5" s="3" t="s">
        <v>22</v>
      </c>
      <c r="C5" s="3" t="s">
        <v>64</v>
      </c>
      <c r="D5" s="3" t="s">
        <v>65</v>
      </c>
      <c r="E5" s="3" t="s">
        <v>66</v>
      </c>
      <c r="F5" s="3" t="s">
        <v>67</v>
      </c>
      <c r="G5" s="3" t="s">
        <v>51</v>
      </c>
      <c r="H5" s="3" t="s">
        <v>68</v>
      </c>
      <c r="I5" s="3" t="s">
        <v>53</v>
      </c>
      <c r="J5" s="3" t="n">
        <v>1</v>
      </c>
      <c r="K5" s="7" t="n">
        <f aca="false">J5*'Study Plan'!$B$12</f>
        <v>3.5</v>
      </c>
      <c r="L5" s="3" t="s">
        <v>6</v>
      </c>
      <c r="M5" s="15" t="n">
        <v>0</v>
      </c>
      <c r="N5" s="7"/>
      <c r="O5" s="8"/>
      <c r="P5" s="8"/>
      <c r="Q5" s="3" t="s">
        <v>69</v>
      </c>
      <c r="R5" s="3"/>
      <c r="S5" s="3"/>
    </row>
    <row r="6" customFormat="false" ht="28.35" hidden="false" customHeight="false" outlineLevel="0" collapsed="false">
      <c r="A6" s="3" t="n">
        <v>5</v>
      </c>
      <c r="B6" s="3" t="s">
        <v>22</v>
      </c>
      <c r="C6" s="3" t="s">
        <v>64</v>
      </c>
      <c r="D6" s="3" t="s">
        <v>70</v>
      </c>
      <c r="E6" s="3" t="s">
        <v>71</v>
      </c>
      <c r="F6" s="3" t="s">
        <v>72</v>
      </c>
      <c r="G6" s="3" t="s">
        <v>51</v>
      </c>
      <c r="H6" s="3" t="s">
        <v>68</v>
      </c>
      <c r="I6" s="3" t="s">
        <v>73</v>
      </c>
      <c r="J6" s="3" t="n">
        <v>1</v>
      </c>
      <c r="K6" s="7" t="n">
        <f aca="false">J6*'Study Plan'!$B$12</f>
        <v>3.5</v>
      </c>
      <c r="L6" s="3" t="s">
        <v>6</v>
      </c>
      <c r="M6" s="15" t="n">
        <v>0</v>
      </c>
      <c r="N6" s="7"/>
      <c r="O6" s="8"/>
      <c r="P6" s="8"/>
      <c r="Q6" s="3" t="s">
        <v>74</v>
      </c>
      <c r="R6" s="3"/>
      <c r="S6" s="3" t="s">
        <v>55</v>
      </c>
    </row>
    <row r="7" customFormat="false" ht="15" hidden="false" customHeight="false" outlineLevel="0" collapsed="false">
      <c r="A7" s="3" t="n">
        <v>6</v>
      </c>
      <c r="B7" s="3" t="s">
        <v>22</v>
      </c>
      <c r="C7" s="3" t="s">
        <v>64</v>
      </c>
      <c r="D7" s="3" t="s">
        <v>75</v>
      </c>
      <c r="E7" s="3" t="s">
        <v>76</v>
      </c>
      <c r="F7" s="3" t="s">
        <v>77</v>
      </c>
      <c r="G7" s="3" t="s">
        <v>51</v>
      </c>
      <c r="H7" s="3" t="s">
        <v>52</v>
      </c>
      <c r="I7" s="3" t="s">
        <v>53</v>
      </c>
      <c r="J7" s="3" t="n">
        <v>1</v>
      </c>
      <c r="K7" s="7" t="n">
        <f aca="false">J7*'Study Plan'!$B$12</f>
        <v>3.5</v>
      </c>
      <c r="L7" s="3" t="s">
        <v>6</v>
      </c>
      <c r="M7" s="15" t="n">
        <v>0</v>
      </c>
      <c r="N7" s="7"/>
      <c r="O7" s="8"/>
      <c r="P7" s="8"/>
      <c r="Q7" s="3" t="s">
        <v>78</v>
      </c>
      <c r="R7" s="3"/>
      <c r="S7" s="3"/>
    </row>
    <row r="8" customFormat="false" ht="28.35" hidden="false" customHeight="false" outlineLevel="0" collapsed="false">
      <c r="A8" s="3" t="n">
        <v>7</v>
      </c>
      <c r="B8" s="3" t="s">
        <v>22</v>
      </c>
      <c r="C8" s="3" t="s">
        <v>64</v>
      </c>
      <c r="D8" s="3" t="s">
        <v>75</v>
      </c>
      <c r="E8" s="3" t="s">
        <v>79</v>
      </c>
      <c r="F8" s="3" t="s">
        <v>80</v>
      </c>
      <c r="G8" s="3" t="s">
        <v>81</v>
      </c>
      <c r="H8" s="3" t="s">
        <v>68</v>
      </c>
      <c r="I8" s="3" t="s">
        <v>73</v>
      </c>
      <c r="J8" s="3" t="n">
        <v>1</v>
      </c>
      <c r="K8" s="7" t="n">
        <f aca="false">J8*'Study Plan'!$B$12</f>
        <v>3.5</v>
      </c>
      <c r="L8" s="3" t="s">
        <v>6</v>
      </c>
      <c r="M8" s="15" t="n">
        <v>0</v>
      </c>
      <c r="N8" s="7"/>
      <c r="O8" s="8"/>
      <c r="P8" s="8"/>
      <c r="Q8" s="3" t="s">
        <v>82</v>
      </c>
      <c r="R8" s="3"/>
      <c r="S8" s="3" t="s">
        <v>55</v>
      </c>
    </row>
    <row r="9" customFormat="false" ht="15" hidden="false" customHeight="false" outlineLevel="0" collapsed="false">
      <c r="A9" s="3" t="n">
        <v>8</v>
      </c>
      <c r="B9" s="3" t="s">
        <v>22</v>
      </c>
      <c r="C9" s="3" t="s">
        <v>83</v>
      </c>
      <c r="D9" s="3" t="s">
        <v>84</v>
      </c>
      <c r="E9" s="3" t="s">
        <v>85</v>
      </c>
      <c r="F9" s="3" t="s">
        <v>86</v>
      </c>
      <c r="G9" s="3" t="s">
        <v>51</v>
      </c>
      <c r="H9" s="3" t="s">
        <v>52</v>
      </c>
      <c r="I9" s="3" t="s">
        <v>53</v>
      </c>
      <c r="J9" s="3" t="n">
        <v>2</v>
      </c>
      <c r="K9" s="7" t="n">
        <f aca="false">J9*'Study Plan'!$B$12</f>
        <v>7</v>
      </c>
      <c r="L9" s="3" t="s">
        <v>6</v>
      </c>
      <c r="M9" s="15" t="n">
        <v>0</v>
      </c>
      <c r="N9" s="7"/>
      <c r="O9" s="8"/>
      <c r="P9" s="8"/>
      <c r="Q9" s="3" t="s">
        <v>87</v>
      </c>
      <c r="R9" s="3"/>
      <c r="S9" s="3"/>
    </row>
    <row r="10" customFormat="false" ht="15" hidden="false" customHeight="false" outlineLevel="0" collapsed="false">
      <c r="A10" s="3" t="n">
        <v>9</v>
      </c>
      <c r="B10" s="3" t="s">
        <v>22</v>
      </c>
      <c r="C10" s="3" t="s">
        <v>83</v>
      </c>
      <c r="D10" s="3" t="s">
        <v>84</v>
      </c>
      <c r="E10" s="3" t="s">
        <v>88</v>
      </c>
      <c r="F10" s="3" t="s">
        <v>89</v>
      </c>
      <c r="G10" s="3" t="s">
        <v>51</v>
      </c>
      <c r="H10" s="3" t="s">
        <v>52</v>
      </c>
      <c r="I10" s="3" t="s">
        <v>53</v>
      </c>
      <c r="J10" s="3" t="n">
        <v>1</v>
      </c>
      <c r="K10" s="7" t="n">
        <f aca="false">J10*'Study Plan'!$B$12</f>
        <v>3.5</v>
      </c>
      <c r="L10" s="3" t="s">
        <v>6</v>
      </c>
      <c r="M10" s="15" t="n">
        <v>0</v>
      </c>
      <c r="N10" s="7"/>
      <c r="O10" s="8"/>
      <c r="P10" s="8"/>
      <c r="Q10" s="3" t="s">
        <v>90</v>
      </c>
      <c r="R10" s="3"/>
      <c r="S10" s="3"/>
    </row>
    <row r="11" customFormat="false" ht="28.35" hidden="false" customHeight="false" outlineLevel="0" collapsed="false">
      <c r="A11" s="3" t="n">
        <v>10</v>
      </c>
      <c r="B11" s="3" t="s">
        <v>22</v>
      </c>
      <c r="C11" s="3" t="s">
        <v>91</v>
      </c>
      <c r="D11" s="3" t="s">
        <v>92</v>
      </c>
      <c r="E11" s="3" t="s">
        <v>93</v>
      </c>
      <c r="F11" s="3" t="s">
        <v>94</v>
      </c>
      <c r="G11" s="3" t="s">
        <v>51</v>
      </c>
      <c r="H11" s="3" t="s">
        <v>52</v>
      </c>
      <c r="I11" s="3" t="s">
        <v>73</v>
      </c>
      <c r="J11" s="3" t="n">
        <v>1</v>
      </c>
      <c r="K11" s="7" t="n">
        <f aca="false">J11*'Study Plan'!$B$12</f>
        <v>3.5</v>
      </c>
      <c r="L11" s="3" t="s">
        <v>6</v>
      </c>
      <c r="M11" s="15" t="n">
        <v>0</v>
      </c>
      <c r="N11" s="7"/>
      <c r="O11" s="8"/>
      <c r="P11" s="8"/>
      <c r="Q11" s="3" t="s">
        <v>95</v>
      </c>
      <c r="R11" s="3"/>
      <c r="S11" s="3"/>
    </row>
    <row r="12" customFormat="false" ht="28.35" hidden="false" customHeight="false" outlineLevel="0" collapsed="false">
      <c r="A12" s="3" t="n">
        <v>11</v>
      </c>
      <c r="B12" s="3" t="s">
        <v>22</v>
      </c>
      <c r="C12" s="3" t="s">
        <v>91</v>
      </c>
      <c r="D12" s="3" t="s">
        <v>92</v>
      </c>
      <c r="E12" s="3" t="s">
        <v>96</v>
      </c>
      <c r="F12" s="3" t="s">
        <v>97</v>
      </c>
      <c r="G12" s="3" t="s">
        <v>51</v>
      </c>
      <c r="H12" s="3" t="s">
        <v>52</v>
      </c>
      <c r="I12" s="3" t="s">
        <v>73</v>
      </c>
      <c r="J12" s="3" t="n">
        <v>1</v>
      </c>
      <c r="K12" s="7" t="n">
        <f aca="false">J12*'Study Plan'!$B$12</f>
        <v>3.5</v>
      </c>
      <c r="L12" s="3" t="s">
        <v>6</v>
      </c>
      <c r="M12" s="15" t="n">
        <v>0</v>
      </c>
      <c r="N12" s="7"/>
      <c r="O12" s="8"/>
      <c r="P12" s="8"/>
      <c r="Q12" s="3" t="s">
        <v>98</v>
      </c>
      <c r="R12" s="3"/>
      <c r="S12" s="3"/>
    </row>
    <row r="13" customFormat="false" ht="15" hidden="false" customHeight="false" outlineLevel="0" collapsed="false">
      <c r="A13" s="3" t="n">
        <v>12</v>
      </c>
      <c r="B13" s="3" t="s">
        <v>22</v>
      </c>
      <c r="C13" s="3" t="s">
        <v>91</v>
      </c>
      <c r="D13" s="3" t="s">
        <v>92</v>
      </c>
      <c r="E13" s="3" t="s">
        <v>99</v>
      </c>
      <c r="F13" s="3" t="s">
        <v>100</v>
      </c>
      <c r="G13" s="3" t="s">
        <v>51</v>
      </c>
      <c r="H13" s="3" t="s">
        <v>68</v>
      </c>
      <c r="I13" s="3" t="s">
        <v>73</v>
      </c>
      <c r="J13" s="3" t="n">
        <v>1</v>
      </c>
      <c r="K13" s="7" t="n">
        <f aca="false">J13*'Study Plan'!$B$12</f>
        <v>3.5</v>
      </c>
      <c r="L13" s="3" t="s">
        <v>6</v>
      </c>
      <c r="M13" s="15" t="n">
        <v>0</v>
      </c>
      <c r="N13" s="7"/>
      <c r="O13" s="8"/>
      <c r="P13" s="8"/>
      <c r="Q13" s="3" t="s">
        <v>101</v>
      </c>
      <c r="R13" s="3"/>
      <c r="S13" s="3"/>
    </row>
    <row r="14" customFormat="false" ht="15" hidden="false" customHeight="false" outlineLevel="0" collapsed="false">
      <c r="A14" s="3" t="n">
        <v>13</v>
      </c>
      <c r="B14" s="3" t="s">
        <v>22</v>
      </c>
      <c r="C14" s="3" t="s">
        <v>91</v>
      </c>
      <c r="D14" s="3" t="s">
        <v>92</v>
      </c>
      <c r="E14" s="3" t="s">
        <v>102</v>
      </c>
      <c r="F14" s="3" t="s">
        <v>103</v>
      </c>
      <c r="G14" s="3" t="s">
        <v>51</v>
      </c>
      <c r="H14" s="3" t="s">
        <v>52</v>
      </c>
      <c r="I14" s="3" t="s">
        <v>73</v>
      </c>
      <c r="J14" s="3" t="n">
        <v>1</v>
      </c>
      <c r="K14" s="7" t="n">
        <f aca="false">J14*'Study Plan'!$B$12</f>
        <v>3.5</v>
      </c>
      <c r="L14" s="3" t="s">
        <v>6</v>
      </c>
      <c r="M14" s="15" t="n">
        <v>0</v>
      </c>
      <c r="N14" s="7"/>
      <c r="O14" s="8"/>
      <c r="P14" s="8"/>
      <c r="Q14" s="3" t="s">
        <v>104</v>
      </c>
      <c r="R14" s="3"/>
      <c r="S14" s="3"/>
    </row>
    <row r="15" customFormat="false" ht="15" hidden="false" customHeight="false" outlineLevel="0" collapsed="false">
      <c r="A15" s="3" t="n">
        <v>14</v>
      </c>
      <c r="B15" s="3" t="s">
        <v>22</v>
      </c>
      <c r="C15" s="3" t="s">
        <v>91</v>
      </c>
      <c r="D15" s="3" t="s">
        <v>92</v>
      </c>
      <c r="E15" s="3" t="s">
        <v>105</v>
      </c>
      <c r="F15" s="3" t="s">
        <v>106</v>
      </c>
      <c r="G15" s="3" t="s">
        <v>51</v>
      </c>
      <c r="H15" s="3" t="s">
        <v>52</v>
      </c>
      <c r="I15" s="3" t="s">
        <v>53</v>
      </c>
      <c r="J15" s="3" t="n">
        <v>1</v>
      </c>
      <c r="K15" s="7" t="n">
        <f aca="false">J15*'Study Plan'!$B$12</f>
        <v>3.5</v>
      </c>
      <c r="L15" s="3" t="s">
        <v>6</v>
      </c>
      <c r="M15" s="15" t="n">
        <v>0</v>
      </c>
      <c r="N15" s="7"/>
      <c r="O15" s="8"/>
      <c r="P15" s="8"/>
      <c r="Q15" s="3" t="s">
        <v>107</v>
      </c>
      <c r="R15" s="3"/>
      <c r="S15" s="3"/>
    </row>
    <row r="16" customFormat="false" ht="28.35" hidden="false" customHeight="false" outlineLevel="0" collapsed="false">
      <c r="A16" s="3" t="n">
        <v>15</v>
      </c>
      <c r="B16" s="3" t="s">
        <v>22</v>
      </c>
      <c r="C16" s="3" t="s">
        <v>108</v>
      </c>
      <c r="D16" s="3" t="s">
        <v>109</v>
      </c>
      <c r="E16" s="3" t="s">
        <v>110</v>
      </c>
      <c r="F16" s="3" t="s">
        <v>111</v>
      </c>
      <c r="G16" s="3" t="s">
        <v>51</v>
      </c>
      <c r="H16" s="3" t="s">
        <v>52</v>
      </c>
      <c r="I16" s="3" t="s">
        <v>53</v>
      </c>
      <c r="J16" s="3" t="n">
        <v>1</v>
      </c>
      <c r="K16" s="7" t="n">
        <f aca="false">J16*'Study Plan'!$B$12</f>
        <v>3.5</v>
      </c>
      <c r="L16" s="3" t="s">
        <v>6</v>
      </c>
      <c r="M16" s="15" t="n">
        <v>0</v>
      </c>
      <c r="N16" s="7"/>
      <c r="O16" s="8"/>
      <c r="P16" s="8"/>
      <c r="Q16" s="3" t="s">
        <v>112</v>
      </c>
      <c r="R16" s="3"/>
      <c r="S16" s="3" t="s">
        <v>55</v>
      </c>
    </row>
    <row r="17" customFormat="false" ht="28.35" hidden="false" customHeight="false" outlineLevel="0" collapsed="false">
      <c r="A17" s="3" t="n">
        <v>16</v>
      </c>
      <c r="B17" s="3" t="s">
        <v>23</v>
      </c>
      <c r="C17" s="3" t="s">
        <v>113</v>
      </c>
      <c r="D17" s="3" t="s">
        <v>114</v>
      </c>
      <c r="E17" s="3" t="s">
        <v>115</v>
      </c>
      <c r="F17" s="3" t="s">
        <v>116</v>
      </c>
      <c r="G17" s="3" t="s">
        <v>51</v>
      </c>
      <c r="H17" s="3" t="s">
        <v>68</v>
      </c>
      <c r="I17" s="3" t="s">
        <v>53</v>
      </c>
      <c r="J17" s="3" t="n">
        <v>1</v>
      </c>
      <c r="K17" s="7" t="n">
        <f aca="false">J17*'Study Plan'!$B$12</f>
        <v>3.5</v>
      </c>
      <c r="L17" s="3" t="s">
        <v>6</v>
      </c>
      <c r="M17" s="15" t="n">
        <v>0</v>
      </c>
      <c r="N17" s="7"/>
      <c r="O17" s="8"/>
      <c r="P17" s="8"/>
      <c r="Q17" s="3" t="s">
        <v>117</v>
      </c>
      <c r="R17" s="3"/>
      <c r="S17" s="3" t="s">
        <v>55</v>
      </c>
    </row>
    <row r="18" customFormat="false" ht="28.35" hidden="false" customHeight="false" outlineLevel="0" collapsed="false">
      <c r="A18" s="3" t="n">
        <v>17</v>
      </c>
      <c r="B18" s="3" t="s">
        <v>23</v>
      </c>
      <c r="C18" s="3" t="s">
        <v>113</v>
      </c>
      <c r="D18" s="3" t="s">
        <v>118</v>
      </c>
      <c r="E18" s="3" t="s">
        <v>119</v>
      </c>
      <c r="F18" s="3" t="s">
        <v>120</v>
      </c>
      <c r="G18" s="3" t="s">
        <v>51</v>
      </c>
      <c r="H18" s="3" t="s">
        <v>68</v>
      </c>
      <c r="I18" s="3" t="s">
        <v>53</v>
      </c>
      <c r="J18" s="3" t="n">
        <v>1</v>
      </c>
      <c r="K18" s="7" t="n">
        <f aca="false">J18*'Study Plan'!$B$12</f>
        <v>3.5</v>
      </c>
      <c r="L18" s="3" t="s">
        <v>6</v>
      </c>
      <c r="M18" s="15" t="n">
        <v>0</v>
      </c>
      <c r="N18" s="7"/>
      <c r="O18" s="8"/>
      <c r="P18" s="8"/>
      <c r="Q18" s="3" t="s">
        <v>121</v>
      </c>
      <c r="R18" s="3"/>
      <c r="S18" s="3" t="s">
        <v>55</v>
      </c>
    </row>
    <row r="19" customFormat="false" ht="28.35" hidden="false" customHeight="false" outlineLevel="0" collapsed="false">
      <c r="A19" s="3" t="n">
        <v>18</v>
      </c>
      <c r="B19" s="3" t="s">
        <v>23</v>
      </c>
      <c r="C19" s="3" t="s">
        <v>64</v>
      </c>
      <c r="D19" s="3" t="s">
        <v>122</v>
      </c>
      <c r="E19" s="3" t="s">
        <v>123</v>
      </c>
      <c r="F19" s="3" t="s">
        <v>124</v>
      </c>
      <c r="G19" s="3" t="s">
        <v>51</v>
      </c>
      <c r="H19" s="3" t="s">
        <v>68</v>
      </c>
      <c r="I19" s="3" t="s">
        <v>73</v>
      </c>
      <c r="J19" s="3" t="n">
        <v>2</v>
      </c>
      <c r="K19" s="7" t="n">
        <f aca="false">J19*'Study Plan'!$B$12</f>
        <v>7</v>
      </c>
      <c r="L19" s="3" t="s">
        <v>6</v>
      </c>
      <c r="M19" s="15" t="n">
        <v>0</v>
      </c>
      <c r="N19" s="7"/>
      <c r="O19" s="8"/>
      <c r="P19" s="8"/>
      <c r="Q19" s="3" t="s">
        <v>125</v>
      </c>
      <c r="R19" s="3"/>
      <c r="S19" s="3"/>
    </row>
    <row r="20" customFormat="false" ht="28.35" hidden="false" customHeight="false" outlineLevel="0" collapsed="false">
      <c r="A20" s="3" t="n">
        <v>19</v>
      </c>
      <c r="B20" s="3" t="s">
        <v>23</v>
      </c>
      <c r="C20" s="3" t="s">
        <v>126</v>
      </c>
      <c r="D20" s="3" t="s">
        <v>126</v>
      </c>
      <c r="E20" s="3" t="s">
        <v>127</v>
      </c>
      <c r="F20" s="3" t="s">
        <v>128</v>
      </c>
      <c r="G20" s="3" t="s">
        <v>81</v>
      </c>
      <c r="H20" s="3" t="s">
        <v>68</v>
      </c>
      <c r="I20" s="3" t="s">
        <v>53</v>
      </c>
      <c r="J20" s="3" t="n">
        <v>1</v>
      </c>
      <c r="K20" s="7" t="n">
        <f aca="false">J20*'Study Plan'!$B$12</f>
        <v>3.5</v>
      </c>
      <c r="L20" s="3" t="s">
        <v>6</v>
      </c>
      <c r="M20" s="15" t="n">
        <v>0</v>
      </c>
      <c r="N20" s="7"/>
      <c r="O20" s="8"/>
      <c r="P20" s="8"/>
      <c r="Q20" s="3" t="s">
        <v>129</v>
      </c>
      <c r="R20" s="3"/>
      <c r="S20" s="3"/>
    </row>
    <row r="21" customFormat="false" ht="28.35" hidden="false" customHeight="false" outlineLevel="0" collapsed="false">
      <c r="A21" s="3" t="n">
        <v>20</v>
      </c>
      <c r="B21" s="3" t="s">
        <v>23</v>
      </c>
      <c r="C21" s="3" t="s">
        <v>64</v>
      </c>
      <c r="D21" s="3" t="s">
        <v>130</v>
      </c>
      <c r="E21" s="3" t="s">
        <v>131</v>
      </c>
      <c r="F21" s="3" t="s">
        <v>132</v>
      </c>
      <c r="G21" s="3" t="s">
        <v>81</v>
      </c>
      <c r="H21" s="3" t="s">
        <v>68</v>
      </c>
      <c r="I21" s="3" t="s">
        <v>53</v>
      </c>
      <c r="J21" s="3" t="n">
        <v>1</v>
      </c>
      <c r="K21" s="7" t="n">
        <f aca="false">J21*'Study Plan'!$B$12</f>
        <v>3.5</v>
      </c>
      <c r="L21" s="3" t="s">
        <v>6</v>
      </c>
      <c r="M21" s="15" t="n">
        <v>0</v>
      </c>
      <c r="N21" s="7"/>
      <c r="O21" s="8"/>
      <c r="P21" s="8"/>
      <c r="Q21" s="3" t="s">
        <v>133</v>
      </c>
      <c r="R21" s="3"/>
      <c r="S21" s="3"/>
    </row>
    <row r="22" customFormat="false" ht="28.35" hidden="false" customHeight="false" outlineLevel="0" collapsed="false">
      <c r="A22" s="3" t="n">
        <v>21</v>
      </c>
      <c r="B22" s="3" t="s">
        <v>23</v>
      </c>
      <c r="C22" s="3" t="s">
        <v>83</v>
      </c>
      <c r="D22" s="3" t="s">
        <v>83</v>
      </c>
      <c r="E22" s="3" t="s">
        <v>134</v>
      </c>
      <c r="F22" s="3" t="s">
        <v>135</v>
      </c>
      <c r="G22" s="3" t="s">
        <v>81</v>
      </c>
      <c r="H22" s="3" t="s">
        <v>68</v>
      </c>
      <c r="I22" s="3" t="s">
        <v>53</v>
      </c>
      <c r="J22" s="3" t="n">
        <v>2</v>
      </c>
      <c r="K22" s="7" t="n">
        <f aca="false">J22*'Study Plan'!$B$12</f>
        <v>7</v>
      </c>
      <c r="L22" s="3" t="s">
        <v>6</v>
      </c>
      <c r="M22" s="15" t="n">
        <v>0</v>
      </c>
      <c r="N22" s="7"/>
      <c r="O22" s="8"/>
      <c r="P22" s="8"/>
      <c r="Q22" s="3" t="s">
        <v>136</v>
      </c>
      <c r="R22" s="3"/>
      <c r="S22" s="3"/>
    </row>
    <row r="23" customFormat="false" ht="28.35" hidden="false" customHeight="false" outlineLevel="0" collapsed="false">
      <c r="A23" s="3" t="n">
        <v>22</v>
      </c>
      <c r="B23" s="3" t="s">
        <v>23</v>
      </c>
      <c r="C23" s="3" t="s">
        <v>83</v>
      </c>
      <c r="D23" s="3" t="s">
        <v>137</v>
      </c>
      <c r="E23" s="3" t="s">
        <v>138</v>
      </c>
      <c r="F23" s="3" t="s">
        <v>139</v>
      </c>
      <c r="G23" s="3" t="s">
        <v>81</v>
      </c>
      <c r="H23" s="3" t="s">
        <v>140</v>
      </c>
      <c r="I23" s="3" t="s">
        <v>73</v>
      </c>
      <c r="J23" s="3" t="n">
        <v>1</v>
      </c>
      <c r="K23" s="7" t="n">
        <f aca="false">J23*'Study Plan'!$B$12</f>
        <v>3.5</v>
      </c>
      <c r="L23" s="3" t="s">
        <v>6</v>
      </c>
      <c r="M23" s="15" t="n">
        <v>0</v>
      </c>
      <c r="N23" s="7"/>
      <c r="O23" s="8"/>
      <c r="P23" s="8"/>
      <c r="Q23" s="3" t="s">
        <v>141</v>
      </c>
      <c r="R23" s="3"/>
      <c r="S23" s="3"/>
    </row>
    <row r="24" customFormat="false" ht="28.35" hidden="false" customHeight="false" outlineLevel="0" collapsed="false">
      <c r="A24" s="3" t="n">
        <v>23</v>
      </c>
      <c r="B24" s="3" t="s">
        <v>23</v>
      </c>
      <c r="C24" s="3" t="s">
        <v>126</v>
      </c>
      <c r="D24" s="3" t="s">
        <v>142</v>
      </c>
      <c r="E24" s="3" t="s">
        <v>143</v>
      </c>
      <c r="F24" s="3" t="s">
        <v>144</v>
      </c>
      <c r="G24" s="3" t="s">
        <v>81</v>
      </c>
      <c r="H24" s="3" t="s">
        <v>68</v>
      </c>
      <c r="I24" s="3" t="s">
        <v>73</v>
      </c>
      <c r="J24" s="3" t="n">
        <v>1</v>
      </c>
      <c r="K24" s="7" t="n">
        <f aca="false">J24*'Study Plan'!$B$12</f>
        <v>3.5</v>
      </c>
      <c r="L24" s="3" t="s">
        <v>6</v>
      </c>
      <c r="M24" s="15" t="n">
        <v>0</v>
      </c>
      <c r="N24" s="7"/>
      <c r="O24" s="8"/>
      <c r="P24" s="8"/>
      <c r="Q24" s="3" t="s">
        <v>145</v>
      </c>
      <c r="R24" s="3"/>
      <c r="S24" s="3"/>
    </row>
    <row r="25" customFormat="false" ht="28.35" hidden="false" customHeight="false" outlineLevel="0" collapsed="false">
      <c r="A25" s="3" t="n">
        <v>24</v>
      </c>
      <c r="B25" s="3" t="s">
        <v>23</v>
      </c>
      <c r="C25" s="3" t="s">
        <v>64</v>
      </c>
      <c r="D25" s="3" t="s">
        <v>146</v>
      </c>
      <c r="E25" s="3" t="s">
        <v>147</v>
      </c>
      <c r="F25" s="3" t="s">
        <v>148</v>
      </c>
      <c r="G25" s="3" t="s">
        <v>51</v>
      </c>
      <c r="H25" s="3" t="s">
        <v>140</v>
      </c>
      <c r="I25" s="3" t="s">
        <v>149</v>
      </c>
      <c r="J25" s="3" t="n">
        <v>1</v>
      </c>
      <c r="K25" s="7" t="n">
        <f aca="false">J25*'Study Plan'!$B$12</f>
        <v>3.5</v>
      </c>
      <c r="L25" s="3" t="s">
        <v>6</v>
      </c>
      <c r="M25" s="15" t="n">
        <v>0</v>
      </c>
      <c r="N25" s="7"/>
      <c r="O25" s="8"/>
      <c r="P25" s="8"/>
      <c r="Q25" s="3" t="s">
        <v>150</v>
      </c>
      <c r="R25" s="3"/>
      <c r="S25" s="3" t="s">
        <v>55</v>
      </c>
    </row>
    <row r="26" customFormat="false" ht="28.35" hidden="false" customHeight="false" outlineLevel="0" collapsed="false">
      <c r="A26" s="3" t="n">
        <v>25</v>
      </c>
      <c r="B26" s="3" t="s">
        <v>24</v>
      </c>
      <c r="C26" s="3" t="s">
        <v>151</v>
      </c>
      <c r="D26" s="3" t="s">
        <v>151</v>
      </c>
      <c r="E26" s="3" t="s">
        <v>152</v>
      </c>
      <c r="F26" s="3" t="s">
        <v>153</v>
      </c>
      <c r="G26" s="3" t="s">
        <v>51</v>
      </c>
      <c r="H26" s="3" t="s">
        <v>68</v>
      </c>
      <c r="I26" s="3" t="s">
        <v>53</v>
      </c>
      <c r="J26" s="3" t="n">
        <v>1</v>
      </c>
      <c r="K26" s="7" t="n">
        <f aca="false">J26*'Study Plan'!$B$12</f>
        <v>3.5</v>
      </c>
      <c r="L26" s="3" t="s">
        <v>6</v>
      </c>
      <c r="M26" s="15" t="n">
        <v>0</v>
      </c>
      <c r="N26" s="7"/>
      <c r="O26" s="8"/>
      <c r="P26" s="8"/>
      <c r="Q26" s="3" t="s">
        <v>154</v>
      </c>
      <c r="R26" s="3"/>
      <c r="S26" s="3"/>
    </row>
    <row r="27" customFormat="false" ht="15" hidden="false" customHeight="false" outlineLevel="0" collapsed="false">
      <c r="A27" s="3" t="n">
        <v>26</v>
      </c>
      <c r="B27" s="3" t="s">
        <v>24</v>
      </c>
      <c r="C27" s="3" t="s">
        <v>151</v>
      </c>
      <c r="D27" s="3" t="s">
        <v>155</v>
      </c>
      <c r="E27" s="3" t="s">
        <v>156</v>
      </c>
      <c r="F27" s="3" t="s">
        <v>157</v>
      </c>
      <c r="G27" s="3" t="s">
        <v>51</v>
      </c>
      <c r="H27" s="3" t="s">
        <v>68</v>
      </c>
      <c r="I27" s="3" t="s">
        <v>53</v>
      </c>
      <c r="J27" s="3" t="n">
        <v>2</v>
      </c>
      <c r="K27" s="7" t="n">
        <f aca="false">J27*'Study Plan'!$B$12</f>
        <v>7</v>
      </c>
      <c r="L27" s="3" t="s">
        <v>6</v>
      </c>
      <c r="M27" s="15" t="n">
        <v>0</v>
      </c>
      <c r="N27" s="7"/>
      <c r="O27" s="8"/>
      <c r="P27" s="8"/>
      <c r="Q27" s="3" t="s">
        <v>158</v>
      </c>
      <c r="R27" s="3"/>
      <c r="S27" s="3"/>
    </row>
    <row r="28" customFormat="false" ht="15" hidden="false" customHeight="false" outlineLevel="0" collapsed="false">
      <c r="A28" s="3" t="n">
        <v>27</v>
      </c>
      <c r="B28" s="3" t="s">
        <v>24</v>
      </c>
      <c r="C28" s="3" t="s">
        <v>151</v>
      </c>
      <c r="D28" s="3" t="s">
        <v>159</v>
      </c>
      <c r="E28" s="3" t="s">
        <v>160</v>
      </c>
      <c r="F28" s="3" t="s">
        <v>161</v>
      </c>
      <c r="G28" s="3" t="s">
        <v>51</v>
      </c>
      <c r="H28" s="3" t="s">
        <v>68</v>
      </c>
      <c r="I28" s="3" t="s">
        <v>73</v>
      </c>
      <c r="J28" s="3" t="n">
        <v>1</v>
      </c>
      <c r="K28" s="7" t="n">
        <f aca="false">J28*'Study Plan'!$B$12</f>
        <v>3.5</v>
      </c>
      <c r="L28" s="3" t="s">
        <v>6</v>
      </c>
      <c r="M28" s="15" t="n">
        <v>0</v>
      </c>
      <c r="N28" s="7"/>
      <c r="O28" s="8"/>
      <c r="P28" s="8"/>
      <c r="Q28" s="3" t="s">
        <v>162</v>
      </c>
      <c r="R28" s="3"/>
      <c r="S28" s="3"/>
    </row>
    <row r="29" customFormat="false" ht="15" hidden="false" customHeight="false" outlineLevel="0" collapsed="false">
      <c r="A29" s="3" t="n">
        <v>28</v>
      </c>
      <c r="B29" s="3" t="s">
        <v>24</v>
      </c>
      <c r="C29" s="3" t="s">
        <v>151</v>
      </c>
      <c r="D29" s="3" t="s">
        <v>163</v>
      </c>
      <c r="E29" s="3" t="s">
        <v>164</v>
      </c>
      <c r="F29" s="3" t="s">
        <v>165</v>
      </c>
      <c r="G29" s="3" t="s">
        <v>81</v>
      </c>
      <c r="H29" s="3" t="s">
        <v>68</v>
      </c>
      <c r="I29" s="3" t="s">
        <v>53</v>
      </c>
      <c r="J29" s="3" t="n">
        <v>1</v>
      </c>
      <c r="K29" s="7" t="n">
        <f aca="false">J29*'Study Plan'!$B$12</f>
        <v>3.5</v>
      </c>
      <c r="L29" s="3" t="s">
        <v>6</v>
      </c>
      <c r="M29" s="15" t="n">
        <v>0</v>
      </c>
      <c r="N29" s="7"/>
      <c r="O29" s="8"/>
      <c r="P29" s="8"/>
      <c r="Q29" s="3" t="s">
        <v>166</v>
      </c>
      <c r="R29" s="3"/>
      <c r="S29" s="3"/>
    </row>
    <row r="30" customFormat="false" ht="28.35" hidden="false" customHeight="false" outlineLevel="0" collapsed="false">
      <c r="A30" s="3" t="n">
        <v>29</v>
      </c>
      <c r="B30" s="3" t="s">
        <v>24</v>
      </c>
      <c r="C30" s="3" t="s">
        <v>151</v>
      </c>
      <c r="D30" s="3" t="s">
        <v>167</v>
      </c>
      <c r="E30" s="3" t="s">
        <v>168</v>
      </c>
      <c r="F30" s="3" t="s">
        <v>169</v>
      </c>
      <c r="G30" s="3" t="s">
        <v>81</v>
      </c>
      <c r="H30" s="3" t="s">
        <v>68</v>
      </c>
      <c r="I30" s="3" t="s">
        <v>53</v>
      </c>
      <c r="J30" s="3" t="n">
        <v>1</v>
      </c>
      <c r="K30" s="7" t="n">
        <f aca="false">J30*'Study Plan'!$B$12</f>
        <v>3.5</v>
      </c>
      <c r="L30" s="3" t="s">
        <v>6</v>
      </c>
      <c r="M30" s="15" t="n">
        <v>0</v>
      </c>
      <c r="N30" s="7"/>
      <c r="O30" s="8"/>
      <c r="P30" s="8"/>
      <c r="Q30" s="3" t="s">
        <v>170</v>
      </c>
      <c r="R30" s="3"/>
      <c r="S30" s="3" t="s">
        <v>55</v>
      </c>
    </row>
    <row r="31" customFormat="false" ht="15" hidden="false" customHeight="false" outlineLevel="0" collapsed="false">
      <c r="A31" s="3" t="n">
        <v>30</v>
      </c>
      <c r="B31" s="3" t="s">
        <v>24</v>
      </c>
      <c r="C31" s="3" t="s">
        <v>151</v>
      </c>
      <c r="D31" s="3" t="s">
        <v>171</v>
      </c>
      <c r="E31" s="3" t="s">
        <v>172</v>
      </c>
      <c r="F31" s="3" t="s">
        <v>173</v>
      </c>
      <c r="G31" s="3" t="s">
        <v>81</v>
      </c>
      <c r="H31" s="3" t="s">
        <v>140</v>
      </c>
      <c r="I31" s="3" t="s">
        <v>149</v>
      </c>
      <c r="J31" s="3" t="n">
        <v>1</v>
      </c>
      <c r="K31" s="7" t="n">
        <f aca="false">J31*'Study Plan'!$B$12</f>
        <v>3.5</v>
      </c>
      <c r="L31" s="3" t="s">
        <v>6</v>
      </c>
      <c r="M31" s="15" t="n">
        <v>0</v>
      </c>
      <c r="N31" s="7"/>
      <c r="O31" s="8"/>
      <c r="P31" s="8"/>
      <c r="Q31" s="3" t="s">
        <v>174</v>
      </c>
      <c r="R31" s="3"/>
      <c r="S31" s="3"/>
    </row>
    <row r="32" customFormat="false" ht="15" hidden="false" customHeight="false" outlineLevel="0" collapsed="false">
      <c r="A32" s="3" t="n">
        <v>31</v>
      </c>
      <c r="B32" s="3" t="s">
        <v>24</v>
      </c>
      <c r="C32" s="3" t="s">
        <v>175</v>
      </c>
      <c r="D32" s="3" t="s">
        <v>176</v>
      </c>
      <c r="E32" s="3" t="s">
        <v>176</v>
      </c>
      <c r="F32" s="3" t="s">
        <v>177</v>
      </c>
      <c r="G32" s="3" t="s">
        <v>81</v>
      </c>
      <c r="H32" s="3" t="s">
        <v>68</v>
      </c>
      <c r="I32" s="3" t="s">
        <v>53</v>
      </c>
      <c r="J32" s="3" t="n">
        <v>1</v>
      </c>
      <c r="K32" s="7" t="n">
        <f aca="false">J32*'Study Plan'!$B$12</f>
        <v>3.5</v>
      </c>
      <c r="L32" s="3" t="s">
        <v>6</v>
      </c>
      <c r="M32" s="15" t="n">
        <v>0</v>
      </c>
      <c r="N32" s="7"/>
      <c r="O32" s="8"/>
      <c r="P32" s="8"/>
      <c r="Q32" s="3" t="s">
        <v>178</v>
      </c>
      <c r="R32" s="3"/>
      <c r="S32" s="3" t="s">
        <v>55</v>
      </c>
    </row>
    <row r="33" customFormat="false" ht="28.35" hidden="false" customHeight="false" outlineLevel="0" collapsed="false">
      <c r="A33" s="3" t="n">
        <v>32</v>
      </c>
      <c r="B33" s="3" t="s">
        <v>24</v>
      </c>
      <c r="C33" s="3" t="s">
        <v>175</v>
      </c>
      <c r="D33" s="3" t="s">
        <v>179</v>
      </c>
      <c r="E33" s="3" t="s">
        <v>180</v>
      </c>
      <c r="F33" s="3" t="s">
        <v>181</v>
      </c>
      <c r="G33" s="3" t="s">
        <v>81</v>
      </c>
      <c r="H33" s="3" t="s">
        <v>68</v>
      </c>
      <c r="I33" s="3" t="s">
        <v>73</v>
      </c>
      <c r="J33" s="3" t="n">
        <v>1</v>
      </c>
      <c r="K33" s="7" t="n">
        <f aca="false">J33*'Study Plan'!$B$12</f>
        <v>3.5</v>
      </c>
      <c r="L33" s="3" t="s">
        <v>6</v>
      </c>
      <c r="M33" s="15" t="n">
        <v>0</v>
      </c>
      <c r="N33" s="7"/>
      <c r="O33" s="8"/>
      <c r="P33" s="8"/>
      <c r="Q33" s="3" t="s">
        <v>182</v>
      </c>
      <c r="R33" s="3"/>
      <c r="S33" s="3" t="s">
        <v>55</v>
      </c>
    </row>
    <row r="34" customFormat="false" ht="28.35" hidden="false" customHeight="false" outlineLevel="0" collapsed="false">
      <c r="A34" s="3" t="n">
        <v>33</v>
      </c>
      <c r="B34" s="3" t="s">
        <v>24</v>
      </c>
      <c r="C34" s="3" t="s">
        <v>175</v>
      </c>
      <c r="D34" s="3" t="s">
        <v>183</v>
      </c>
      <c r="E34" s="3" t="s">
        <v>184</v>
      </c>
      <c r="F34" s="3" t="s">
        <v>185</v>
      </c>
      <c r="G34" s="3" t="s">
        <v>81</v>
      </c>
      <c r="H34" s="3" t="s">
        <v>68</v>
      </c>
      <c r="I34" s="3" t="s">
        <v>53</v>
      </c>
      <c r="J34" s="3" t="n">
        <v>2</v>
      </c>
      <c r="K34" s="7" t="n">
        <f aca="false">J34*'Study Plan'!$B$12</f>
        <v>7</v>
      </c>
      <c r="L34" s="3" t="s">
        <v>6</v>
      </c>
      <c r="M34" s="15" t="n">
        <v>0</v>
      </c>
      <c r="N34" s="7"/>
      <c r="O34" s="8"/>
      <c r="P34" s="8"/>
      <c r="Q34" s="3" t="s">
        <v>186</v>
      </c>
      <c r="R34" s="3"/>
      <c r="S34" s="3" t="s">
        <v>55</v>
      </c>
    </row>
    <row r="35" customFormat="false" ht="28.35" hidden="false" customHeight="false" outlineLevel="0" collapsed="false">
      <c r="A35" s="3" t="n">
        <v>34</v>
      </c>
      <c r="B35" s="3" t="s">
        <v>24</v>
      </c>
      <c r="C35" s="3" t="s">
        <v>151</v>
      </c>
      <c r="D35" s="3" t="s">
        <v>187</v>
      </c>
      <c r="E35" s="3" t="s">
        <v>188</v>
      </c>
      <c r="F35" s="3" t="s">
        <v>189</v>
      </c>
      <c r="G35" s="3" t="s">
        <v>81</v>
      </c>
      <c r="H35" s="3" t="s">
        <v>140</v>
      </c>
      <c r="I35" s="3" t="s">
        <v>73</v>
      </c>
      <c r="J35" s="3" t="n">
        <v>1</v>
      </c>
      <c r="K35" s="7" t="n">
        <f aca="false">J35*'Study Plan'!$B$12</f>
        <v>3.5</v>
      </c>
      <c r="L35" s="3" t="s">
        <v>6</v>
      </c>
      <c r="M35" s="15" t="n">
        <v>0</v>
      </c>
      <c r="N35" s="7"/>
      <c r="O35" s="8"/>
      <c r="P35" s="8"/>
      <c r="Q35" s="3" t="s">
        <v>190</v>
      </c>
      <c r="R35" s="3"/>
      <c r="S35" s="3" t="s">
        <v>55</v>
      </c>
    </row>
    <row r="36" customFormat="false" ht="15" hidden="false" customHeight="false" outlineLevel="0" collapsed="false">
      <c r="A36" s="3" t="n">
        <v>35</v>
      </c>
      <c r="B36" s="3" t="s">
        <v>25</v>
      </c>
      <c r="C36" s="3" t="s">
        <v>191</v>
      </c>
      <c r="D36" s="3" t="s">
        <v>142</v>
      </c>
      <c r="E36" s="3" t="s">
        <v>192</v>
      </c>
      <c r="F36" s="3" t="s">
        <v>193</v>
      </c>
      <c r="G36" s="3" t="s">
        <v>81</v>
      </c>
      <c r="H36" s="3" t="s">
        <v>68</v>
      </c>
      <c r="I36" s="3" t="s">
        <v>53</v>
      </c>
      <c r="J36" s="3" t="n">
        <v>2</v>
      </c>
      <c r="K36" s="7" t="n">
        <f aca="false">J36*'Study Plan'!$B$12</f>
        <v>7</v>
      </c>
      <c r="L36" s="3" t="s">
        <v>6</v>
      </c>
      <c r="M36" s="15" t="n">
        <v>0</v>
      </c>
      <c r="N36" s="7"/>
      <c r="O36" s="8"/>
      <c r="P36" s="8"/>
      <c r="Q36" s="3" t="s">
        <v>194</v>
      </c>
      <c r="R36" s="3"/>
      <c r="S36" s="3"/>
    </row>
    <row r="37" customFormat="false" ht="28.35" hidden="false" customHeight="false" outlineLevel="0" collapsed="false">
      <c r="A37" s="3" t="n">
        <v>36</v>
      </c>
      <c r="B37" s="3" t="s">
        <v>25</v>
      </c>
      <c r="C37" s="3" t="s">
        <v>191</v>
      </c>
      <c r="D37" s="3" t="s">
        <v>195</v>
      </c>
      <c r="E37" s="3" t="s">
        <v>196</v>
      </c>
      <c r="F37" s="3" t="s">
        <v>197</v>
      </c>
      <c r="G37" s="3" t="s">
        <v>81</v>
      </c>
      <c r="H37" s="3" t="s">
        <v>68</v>
      </c>
      <c r="I37" s="3" t="s">
        <v>73</v>
      </c>
      <c r="J37" s="3" t="n">
        <v>1</v>
      </c>
      <c r="K37" s="7" t="n">
        <f aca="false">J37*'Study Plan'!$B$12</f>
        <v>3.5</v>
      </c>
      <c r="L37" s="3" t="s">
        <v>6</v>
      </c>
      <c r="M37" s="15" t="n">
        <v>0</v>
      </c>
      <c r="N37" s="7"/>
      <c r="O37" s="8"/>
      <c r="P37" s="8"/>
      <c r="Q37" s="3" t="s">
        <v>198</v>
      </c>
      <c r="R37" s="3"/>
      <c r="S37" s="3"/>
    </row>
    <row r="38" customFormat="false" ht="15" hidden="false" customHeight="false" outlineLevel="0" collapsed="false">
      <c r="A38" s="3" t="n">
        <v>37</v>
      </c>
      <c r="B38" s="3" t="s">
        <v>25</v>
      </c>
      <c r="C38" s="3" t="s">
        <v>191</v>
      </c>
      <c r="D38" s="3" t="s">
        <v>199</v>
      </c>
      <c r="E38" s="3" t="s">
        <v>200</v>
      </c>
      <c r="F38" s="3" t="s">
        <v>201</v>
      </c>
      <c r="G38" s="3" t="s">
        <v>81</v>
      </c>
      <c r="H38" s="3" t="s">
        <v>68</v>
      </c>
      <c r="I38" s="3" t="s">
        <v>73</v>
      </c>
      <c r="J38" s="3" t="n">
        <v>1</v>
      </c>
      <c r="K38" s="7" t="n">
        <f aca="false">J38*'Study Plan'!$B$12</f>
        <v>3.5</v>
      </c>
      <c r="L38" s="3" t="s">
        <v>6</v>
      </c>
      <c r="M38" s="15" t="n">
        <v>0</v>
      </c>
      <c r="N38" s="7"/>
      <c r="O38" s="8"/>
      <c r="P38" s="8"/>
      <c r="Q38" s="3" t="s">
        <v>202</v>
      </c>
      <c r="R38" s="3"/>
      <c r="S38" s="3"/>
    </row>
    <row r="39" customFormat="false" ht="28.35" hidden="false" customHeight="false" outlineLevel="0" collapsed="false">
      <c r="A39" s="3" t="n">
        <v>38</v>
      </c>
      <c r="B39" s="3" t="s">
        <v>25</v>
      </c>
      <c r="C39" s="3" t="s">
        <v>191</v>
      </c>
      <c r="D39" s="3" t="s">
        <v>203</v>
      </c>
      <c r="E39" s="3" t="s">
        <v>204</v>
      </c>
      <c r="F39" s="3" t="s">
        <v>205</v>
      </c>
      <c r="G39" s="3" t="s">
        <v>81</v>
      </c>
      <c r="H39" s="3" t="s">
        <v>68</v>
      </c>
      <c r="I39" s="3" t="s">
        <v>73</v>
      </c>
      <c r="J39" s="3" t="n">
        <v>1</v>
      </c>
      <c r="K39" s="7" t="n">
        <f aca="false">J39*'Study Plan'!$B$12</f>
        <v>3.5</v>
      </c>
      <c r="L39" s="3" t="s">
        <v>6</v>
      </c>
      <c r="M39" s="15" t="n">
        <v>0</v>
      </c>
      <c r="N39" s="7"/>
      <c r="O39" s="8"/>
      <c r="P39" s="8"/>
      <c r="Q39" s="3" t="s">
        <v>206</v>
      </c>
      <c r="R39" s="3"/>
      <c r="S39" s="3"/>
    </row>
    <row r="40" customFormat="false" ht="15" hidden="false" customHeight="false" outlineLevel="0" collapsed="false">
      <c r="A40" s="3" t="n">
        <v>39</v>
      </c>
      <c r="B40" s="3" t="s">
        <v>25</v>
      </c>
      <c r="C40" s="3" t="s">
        <v>191</v>
      </c>
      <c r="D40" s="3" t="s">
        <v>207</v>
      </c>
      <c r="E40" s="3" t="s">
        <v>208</v>
      </c>
      <c r="F40" s="3" t="s">
        <v>209</v>
      </c>
      <c r="G40" s="3" t="s">
        <v>81</v>
      </c>
      <c r="H40" s="3" t="s">
        <v>68</v>
      </c>
      <c r="I40" s="3" t="s">
        <v>73</v>
      </c>
      <c r="J40" s="3" t="n">
        <v>1</v>
      </c>
      <c r="K40" s="7" t="n">
        <f aca="false">J40*'Study Plan'!$B$12</f>
        <v>3.5</v>
      </c>
      <c r="L40" s="3" t="s">
        <v>6</v>
      </c>
      <c r="M40" s="15" t="n">
        <v>0</v>
      </c>
      <c r="N40" s="7"/>
      <c r="O40" s="8"/>
      <c r="P40" s="8"/>
      <c r="Q40" s="3" t="s">
        <v>210</v>
      </c>
      <c r="R40" s="3"/>
      <c r="S40" s="3"/>
    </row>
    <row r="41" customFormat="false" ht="28.35" hidden="false" customHeight="false" outlineLevel="0" collapsed="false">
      <c r="A41" s="3" t="n">
        <v>40</v>
      </c>
      <c r="B41" s="3" t="s">
        <v>25</v>
      </c>
      <c r="C41" s="3" t="s">
        <v>108</v>
      </c>
      <c r="D41" s="3" t="s">
        <v>109</v>
      </c>
      <c r="E41" s="3" t="s">
        <v>211</v>
      </c>
      <c r="F41" s="3" t="s">
        <v>212</v>
      </c>
      <c r="G41" s="3" t="s">
        <v>81</v>
      </c>
      <c r="H41" s="3" t="s">
        <v>52</v>
      </c>
      <c r="I41" s="3" t="s">
        <v>53</v>
      </c>
      <c r="J41" s="3" t="n">
        <v>1</v>
      </c>
      <c r="K41" s="7" t="n">
        <f aca="false">J41*'Study Plan'!$B$12</f>
        <v>3.5</v>
      </c>
      <c r="L41" s="3" t="s">
        <v>6</v>
      </c>
      <c r="M41" s="15" t="n">
        <v>0</v>
      </c>
      <c r="N41" s="7"/>
      <c r="O41" s="8"/>
      <c r="P41" s="8"/>
      <c r="Q41" s="3" t="s">
        <v>213</v>
      </c>
      <c r="R41" s="3"/>
      <c r="S41" s="3" t="s">
        <v>55</v>
      </c>
    </row>
    <row r="42" customFormat="false" ht="28.35" hidden="false" customHeight="false" outlineLevel="0" collapsed="false">
      <c r="A42" s="3" t="n">
        <v>41</v>
      </c>
      <c r="B42" s="3" t="s">
        <v>26</v>
      </c>
      <c r="C42" s="3" t="s">
        <v>214</v>
      </c>
      <c r="D42" s="3" t="s">
        <v>215</v>
      </c>
      <c r="E42" s="3" t="s">
        <v>216</v>
      </c>
      <c r="F42" s="3" t="s">
        <v>217</v>
      </c>
      <c r="G42" s="3" t="s">
        <v>81</v>
      </c>
      <c r="H42" s="3" t="s">
        <v>52</v>
      </c>
      <c r="I42" s="3" t="s">
        <v>53</v>
      </c>
      <c r="J42" s="3" t="n">
        <v>2</v>
      </c>
      <c r="K42" s="7" t="n">
        <f aca="false">J42*'Study Plan'!$B$12</f>
        <v>7</v>
      </c>
      <c r="L42" s="3" t="s">
        <v>6</v>
      </c>
      <c r="M42" s="15" t="n">
        <v>0</v>
      </c>
      <c r="N42" s="7"/>
      <c r="O42" s="8"/>
      <c r="P42" s="8"/>
      <c r="Q42" s="3" t="s">
        <v>218</v>
      </c>
      <c r="R42" s="3"/>
      <c r="S42" s="3"/>
    </row>
    <row r="43" customFormat="false" ht="28.35" hidden="false" customHeight="false" outlineLevel="0" collapsed="false">
      <c r="A43" s="3" t="n">
        <v>42</v>
      </c>
      <c r="B43" s="3" t="s">
        <v>26</v>
      </c>
      <c r="C43" s="3" t="s">
        <v>214</v>
      </c>
      <c r="D43" s="3" t="s">
        <v>219</v>
      </c>
      <c r="E43" s="3" t="s">
        <v>220</v>
      </c>
      <c r="F43" s="3" t="s">
        <v>221</v>
      </c>
      <c r="G43" s="3" t="s">
        <v>81</v>
      </c>
      <c r="H43" s="3" t="s">
        <v>140</v>
      </c>
      <c r="I43" s="3" t="s">
        <v>73</v>
      </c>
      <c r="J43" s="3" t="n">
        <v>1</v>
      </c>
      <c r="K43" s="7" t="n">
        <f aca="false">J43*'Study Plan'!$B$12</f>
        <v>3.5</v>
      </c>
      <c r="L43" s="3" t="s">
        <v>6</v>
      </c>
      <c r="M43" s="15" t="n">
        <v>0</v>
      </c>
      <c r="N43" s="7"/>
      <c r="O43" s="8"/>
      <c r="P43" s="8"/>
      <c r="Q43" s="3" t="s">
        <v>222</v>
      </c>
      <c r="R43" s="3"/>
      <c r="S43" s="3" t="s">
        <v>55</v>
      </c>
    </row>
    <row r="44" customFormat="false" ht="28.35" hidden="false" customHeight="false" outlineLevel="0" collapsed="false">
      <c r="A44" s="3" t="n">
        <v>43</v>
      </c>
      <c r="B44" s="3" t="s">
        <v>26</v>
      </c>
      <c r="C44" s="3" t="s">
        <v>214</v>
      </c>
      <c r="D44" s="3" t="s">
        <v>84</v>
      </c>
      <c r="E44" s="3" t="s">
        <v>223</v>
      </c>
      <c r="F44" s="3" t="s">
        <v>224</v>
      </c>
      <c r="G44" s="3" t="s">
        <v>81</v>
      </c>
      <c r="H44" s="3" t="s">
        <v>52</v>
      </c>
      <c r="I44" s="3" t="s">
        <v>53</v>
      </c>
      <c r="J44" s="3" t="n">
        <v>2</v>
      </c>
      <c r="K44" s="7" t="n">
        <f aca="false">J44*'Study Plan'!$B$12</f>
        <v>7</v>
      </c>
      <c r="L44" s="3" t="s">
        <v>6</v>
      </c>
      <c r="M44" s="15" t="n">
        <v>0</v>
      </c>
      <c r="N44" s="7"/>
      <c r="O44" s="8"/>
      <c r="P44" s="8"/>
      <c r="Q44" s="3" t="s">
        <v>225</v>
      </c>
      <c r="R44" s="3"/>
      <c r="S44" s="3"/>
    </row>
    <row r="45" customFormat="false" ht="15" hidden="false" customHeight="false" outlineLevel="0" collapsed="false">
      <c r="A45" s="3" t="n">
        <v>44</v>
      </c>
      <c r="B45" s="3" t="s">
        <v>26</v>
      </c>
      <c r="C45" s="3" t="s">
        <v>214</v>
      </c>
      <c r="D45" s="3" t="s">
        <v>226</v>
      </c>
      <c r="E45" s="3" t="s">
        <v>227</v>
      </c>
      <c r="F45" s="3" t="s">
        <v>228</v>
      </c>
      <c r="G45" s="3" t="s">
        <v>51</v>
      </c>
      <c r="H45" s="3" t="s">
        <v>52</v>
      </c>
      <c r="I45" s="3" t="s">
        <v>53</v>
      </c>
      <c r="J45" s="3" t="n">
        <v>2</v>
      </c>
      <c r="K45" s="7" t="n">
        <f aca="false">J45*'Study Plan'!$B$12</f>
        <v>7</v>
      </c>
      <c r="L45" s="3" t="s">
        <v>6</v>
      </c>
      <c r="M45" s="15" t="n">
        <v>0</v>
      </c>
      <c r="N45" s="7"/>
      <c r="O45" s="8"/>
      <c r="P45" s="8"/>
      <c r="Q45" s="3" t="s">
        <v>229</v>
      </c>
      <c r="R45" s="3"/>
      <c r="S45" s="3"/>
    </row>
    <row r="46" customFormat="false" ht="15" hidden="false" customHeight="false" outlineLevel="0" collapsed="false">
      <c r="A46" s="3" t="n">
        <v>45</v>
      </c>
      <c r="B46" s="3" t="s">
        <v>26</v>
      </c>
      <c r="C46" s="3" t="s">
        <v>214</v>
      </c>
      <c r="D46" s="3" t="s">
        <v>230</v>
      </c>
      <c r="E46" s="3" t="s">
        <v>231</v>
      </c>
      <c r="F46" s="3" t="s">
        <v>232</v>
      </c>
      <c r="G46" s="3" t="s">
        <v>81</v>
      </c>
      <c r="H46" s="3" t="s">
        <v>68</v>
      </c>
      <c r="I46" s="3" t="s">
        <v>53</v>
      </c>
      <c r="J46" s="3" t="n">
        <v>2</v>
      </c>
      <c r="K46" s="7" t="n">
        <f aca="false">J46*'Study Plan'!$B$12</f>
        <v>7</v>
      </c>
      <c r="L46" s="3" t="s">
        <v>6</v>
      </c>
      <c r="M46" s="15" t="n">
        <v>0</v>
      </c>
      <c r="N46" s="7"/>
      <c r="O46" s="8"/>
      <c r="P46" s="8"/>
      <c r="Q46" s="3" t="s">
        <v>233</v>
      </c>
      <c r="R46" s="3"/>
      <c r="S46" s="3"/>
    </row>
    <row r="47" customFormat="false" ht="15" hidden="false" customHeight="false" outlineLevel="0" collapsed="false">
      <c r="A47" s="3" t="n">
        <v>46</v>
      </c>
      <c r="B47" s="3" t="s">
        <v>27</v>
      </c>
      <c r="C47" s="3" t="s">
        <v>234</v>
      </c>
      <c r="D47" s="3" t="s">
        <v>235</v>
      </c>
      <c r="E47" s="3" t="s">
        <v>236</v>
      </c>
      <c r="F47" s="3" t="s">
        <v>237</v>
      </c>
      <c r="G47" s="3" t="s">
        <v>51</v>
      </c>
      <c r="H47" s="3" t="s">
        <v>68</v>
      </c>
      <c r="I47" s="3" t="s">
        <v>73</v>
      </c>
      <c r="J47" s="3" t="n">
        <v>2</v>
      </c>
      <c r="K47" s="7" t="n">
        <f aca="false">J47*'Study Plan'!$B$12</f>
        <v>7</v>
      </c>
      <c r="L47" s="3" t="s">
        <v>6</v>
      </c>
      <c r="M47" s="15" t="n">
        <v>0</v>
      </c>
      <c r="N47" s="7"/>
      <c r="O47" s="8"/>
      <c r="P47" s="8"/>
      <c r="Q47" s="3" t="s">
        <v>238</v>
      </c>
      <c r="R47" s="3"/>
      <c r="S47" s="3"/>
    </row>
    <row r="48" customFormat="false" ht="28.35" hidden="false" customHeight="false" outlineLevel="0" collapsed="false">
      <c r="A48" s="3" t="n">
        <v>47</v>
      </c>
      <c r="B48" s="3" t="s">
        <v>27</v>
      </c>
      <c r="C48" s="3" t="s">
        <v>234</v>
      </c>
      <c r="D48" s="3" t="s">
        <v>239</v>
      </c>
      <c r="E48" s="3" t="s">
        <v>240</v>
      </c>
      <c r="F48" s="3" t="s">
        <v>241</v>
      </c>
      <c r="G48" s="3" t="s">
        <v>51</v>
      </c>
      <c r="H48" s="3" t="s">
        <v>68</v>
      </c>
      <c r="I48" s="3" t="s">
        <v>53</v>
      </c>
      <c r="J48" s="3" t="n">
        <v>1</v>
      </c>
      <c r="K48" s="7" t="n">
        <f aca="false">J48*'Study Plan'!$B$12</f>
        <v>3.5</v>
      </c>
      <c r="L48" s="3" t="s">
        <v>6</v>
      </c>
      <c r="M48" s="15" t="n">
        <v>0</v>
      </c>
      <c r="N48" s="7"/>
      <c r="O48" s="8"/>
      <c r="P48" s="8"/>
      <c r="Q48" s="3" t="s">
        <v>242</v>
      </c>
      <c r="R48" s="3"/>
      <c r="S48" s="3"/>
    </row>
    <row r="49" customFormat="false" ht="28.35" hidden="false" customHeight="false" outlineLevel="0" collapsed="false">
      <c r="A49" s="3" t="n">
        <v>48</v>
      </c>
      <c r="B49" s="3" t="s">
        <v>27</v>
      </c>
      <c r="C49" s="3" t="s">
        <v>234</v>
      </c>
      <c r="D49" s="3" t="s">
        <v>239</v>
      </c>
      <c r="E49" s="3" t="s">
        <v>243</v>
      </c>
      <c r="F49" s="3" t="s">
        <v>244</v>
      </c>
      <c r="G49" s="3" t="s">
        <v>51</v>
      </c>
      <c r="H49" s="3" t="s">
        <v>52</v>
      </c>
      <c r="I49" s="3" t="s">
        <v>53</v>
      </c>
      <c r="J49" s="3" t="n">
        <v>1</v>
      </c>
      <c r="K49" s="7" t="n">
        <f aca="false">J49*'Study Plan'!$B$12</f>
        <v>3.5</v>
      </c>
      <c r="L49" s="3" t="s">
        <v>6</v>
      </c>
      <c r="M49" s="15" t="n">
        <v>0</v>
      </c>
      <c r="N49" s="7"/>
      <c r="O49" s="8"/>
      <c r="P49" s="8"/>
      <c r="Q49" s="3" t="s">
        <v>245</v>
      </c>
      <c r="R49" s="3"/>
      <c r="S49" s="3" t="s">
        <v>55</v>
      </c>
    </row>
    <row r="50" customFormat="false" ht="15" hidden="false" customHeight="false" outlineLevel="0" collapsed="false">
      <c r="A50" s="3" t="n">
        <v>49</v>
      </c>
      <c r="B50" s="3" t="s">
        <v>27</v>
      </c>
      <c r="C50" s="3" t="s">
        <v>234</v>
      </c>
      <c r="D50" s="3" t="s">
        <v>246</v>
      </c>
      <c r="E50" s="3" t="s">
        <v>247</v>
      </c>
      <c r="F50" s="3" t="s">
        <v>248</v>
      </c>
      <c r="G50" s="3" t="s">
        <v>81</v>
      </c>
      <c r="H50" s="3" t="s">
        <v>68</v>
      </c>
      <c r="I50" s="3" t="s">
        <v>73</v>
      </c>
      <c r="J50" s="3" t="n">
        <v>1</v>
      </c>
      <c r="K50" s="7" t="n">
        <f aca="false">J50*'Study Plan'!$B$12</f>
        <v>3.5</v>
      </c>
      <c r="L50" s="3" t="s">
        <v>6</v>
      </c>
      <c r="M50" s="15" t="n">
        <v>0</v>
      </c>
      <c r="N50" s="7"/>
      <c r="O50" s="8"/>
      <c r="P50" s="8"/>
      <c r="Q50" s="3" t="s">
        <v>249</v>
      </c>
      <c r="R50" s="3"/>
      <c r="S50" s="3"/>
    </row>
    <row r="51" customFormat="false" ht="15" hidden="false" customHeight="false" outlineLevel="0" collapsed="false">
      <c r="A51" s="3" t="n">
        <v>50</v>
      </c>
      <c r="B51" s="3" t="s">
        <v>27</v>
      </c>
      <c r="C51" s="3" t="s">
        <v>234</v>
      </c>
      <c r="D51" s="3" t="s">
        <v>246</v>
      </c>
      <c r="E51" s="3" t="s">
        <v>250</v>
      </c>
      <c r="F51" s="3" t="s">
        <v>251</v>
      </c>
      <c r="G51" s="3" t="s">
        <v>81</v>
      </c>
      <c r="H51" s="3" t="s">
        <v>68</v>
      </c>
      <c r="I51" s="3" t="s">
        <v>53</v>
      </c>
      <c r="J51" s="3" t="n">
        <v>2</v>
      </c>
      <c r="K51" s="7" t="n">
        <f aca="false">J51*'Study Plan'!$B$12</f>
        <v>7</v>
      </c>
      <c r="L51" s="3" t="s">
        <v>6</v>
      </c>
      <c r="M51" s="15" t="n">
        <v>0</v>
      </c>
      <c r="N51" s="7"/>
      <c r="O51" s="8"/>
      <c r="P51" s="8"/>
      <c r="Q51" s="3" t="s">
        <v>252</v>
      </c>
      <c r="R51" s="3"/>
      <c r="S51" s="3"/>
    </row>
    <row r="52" customFormat="false" ht="15" hidden="false" customHeight="false" outlineLevel="0" collapsed="false">
      <c r="A52" s="3" t="n">
        <v>51</v>
      </c>
      <c r="B52" s="3" t="s">
        <v>27</v>
      </c>
      <c r="C52" s="3" t="s">
        <v>234</v>
      </c>
      <c r="D52" s="3" t="s">
        <v>253</v>
      </c>
      <c r="E52" s="3" t="s">
        <v>254</v>
      </c>
      <c r="F52" s="3" t="s">
        <v>255</v>
      </c>
      <c r="G52" s="3" t="s">
        <v>81</v>
      </c>
      <c r="H52" s="3" t="s">
        <v>68</v>
      </c>
      <c r="I52" s="3" t="s">
        <v>53</v>
      </c>
      <c r="J52" s="3" t="n">
        <v>2</v>
      </c>
      <c r="K52" s="7" t="n">
        <f aca="false">J52*'Study Plan'!$B$12</f>
        <v>7</v>
      </c>
      <c r="L52" s="3" t="s">
        <v>6</v>
      </c>
      <c r="M52" s="15" t="n">
        <v>0</v>
      </c>
      <c r="N52" s="7"/>
      <c r="O52" s="8"/>
      <c r="P52" s="8"/>
      <c r="Q52" s="3" t="s">
        <v>256</v>
      </c>
      <c r="R52" s="3"/>
      <c r="S52" s="3"/>
    </row>
    <row r="53" customFormat="false" ht="15" hidden="false" customHeight="false" outlineLevel="0" collapsed="false">
      <c r="A53" s="3" t="n">
        <v>52</v>
      </c>
      <c r="B53" s="3" t="s">
        <v>27</v>
      </c>
      <c r="C53" s="3" t="s">
        <v>234</v>
      </c>
      <c r="D53" s="3" t="s">
        <v>257</v>
      </c>
      <c r="E53" s="3" t="s">
        <v>258</v>
      </c>
      <c r="F53" s="3" t="s">
        <v>259</v>
      </c>
      <c r="G53" s="3" t="s">
        <v>81</v>
      </c>
      <c r="H53" s="3" t="s">
        <v>52</v>
      </c>
      <c r="I53" s="3" t="s">
        <v>53</v>
      </c>
      <c r="J53" s="3" t="n">
        <v>2</v>
      </c>
      <c r="K53" s="7" t="n">
        <f aca="false">J53*'Study Plan'!$B$12</f>
        <v>7</v>
      </c>
      <c r="L53" s="3" t="s">
        <v>6</v>
      </c>
      <c r="M53" s="15" t="n">
        <v>0</v>
      </c>
      <c r="N53" s="7"/>
      <c r="O53" s="8"/>
      <c r="P53" s="8"/>
      <c r="Q53" s="3" t="s">
        <v>260</v>
      </c>
      <c r="R53" s="3"/>
      <c r="S53" s="3"/>
    </row>
    <row r="54" customFormat="false" ht="28.35" hidden="false" customHeight="false" outlineLevel="0" collapsed="false">
      <c r="A54" s="3" t="n">
        <v>53</v>
      </c>
      <c r="B54" s="3" t="s">
        <v>28</v>
      </c>
      <c r="C54" s="3" t="s">
        <v>261</v>
      </c>
      <c r="D54" s="3" t="s">
        <v>262</v>
      </c>
      <c r="E54" s="3" t="s">
        <v>263</v>
      </c>
      <c r="F54" s="3" t="s">
        <v>264</v>
      </c>
      <c r="G54" s="3" t="s">
        <v>81</v>
      </c>
      <c r="H54" s="3" t="s">
        <v>52</v>
      </c>
      <c r="I54" s="3" t="s">
        <v>53</v>
      </c>
      <c r="J54" s="3" t="n">
        <v>2</v>
      </c>
      <c r="K54" s="7" t="n">
        <f aca="false">J54*'Study Plan'!$B$12</f>
        <v>7</v>
      </c>
      <c r="L54" s="3" t="s">
        <v>6</v>
      </c>
      <c r="M54" s="15" t="n">
        <v>0</v>
      </c>
      <c r="N54" s="7"/>
      <c r="O54" s="8"/>
      <c r="P54" s="8"/>
      <c r="Q54" s="3" t="s">
        <v>265</v>
      </c>
      <c r="R54" s="3"/>
      <c r="S54" s="3"/>
    </row>
    <row r="55" customFormat="false" ht="15" hidden="false" customHeight="false" outlineLevel="0" collapsed="false">
      <c r="A55" s="3" t="n">
        <v>54</v>
      </c>
      <c r="B55" s="3" t="s">
        <v>28</v>
      </c>
      <c r="C55" s="3" t="s">
        <v>261</v>
      </c>
      <c r="D55" s="3" t="s">
        <v>142</v>
      </c>
      <c r="E55" s="3" t="s">
        <v>266</v>
      </c>
      <c r="F55" s="3" t="s">
        <v>267</v>
      </c>
      <c r="G55" s="3" t="s">
        <v>81</v>
      </c>
      <c r="H55" s="3" t="s">
        <v>68</v>
      </c>
      <c r="I55" s="3" t="s">
        <v>53</v>
      </c>
      <c r="J55" s="3" t="n">
        <v>1</v>
      </c>
      <c r="K55" s="7" t="n">
        <f aca="false">J55*'Study Plan'!$B$12</f>
        <v>3.5</v>
      </c>
      <c r="L55" s="3" t="s">
        <v>6</v>
      </c>
      <c r="M55" s="15" t="n">
        <v>0</v>
      </c>
      <c r="N55" s="7"/>
      <c r="O55" s="8"/>
      <c r="P55" s="8"/>
      <c r="Q55" s="3" t="s">
        <v>268</v>
      </c>
      <c r="R55" s="3"/>
      <c r="S55" s="3"/>
    </row>
    <row r="56" customFormat="false" ht="28.35" hidden="false" customHeight="false" outlineLevel="0" collapsed="false">
      <c r="A56" s="3" t="n">
        <v>55</v>
      </c>
      <c r="B56" s="3" t="s">
        <v>28</v>
      </c>
      <c r="C56" s="3" t="s">
        <v>261</v>
      </c>
      <c r="D56" s="3" t="s">
        <v>269</v>
      </c>
      <c r="E56" s="3" t="s">
        <v>270</v>
      </c>
      <c r="F56" s="3" t="s">
        <v>271</v>
      </c>
      <c r="G56" s="3" t="s">
        <v>81</v>
      </c>
      <c r="H56" s="3" t="s">
        <v>52</v>
      </c>
      <c r="I56" s="3" t="s">
        <v>73</v>
      </c>
      <c r="J56" s="3" t="n">
        <v>1</v>
      </c>
      <c r="K56" s="7" t="n">
        <f aca="false">J56*'Study Plan'!$B$12</f>
        <v>3.5</v>
      </c>
      <c r="L56" s="3" t="s">
        <v>6</v>
      </c>
      <c r="M56" s="15" t="n">
        <v>0</v>
      </c>
      <c r="N56" s="7"/>
      <c r="O56" s="8"/>
      <c r="P56" s="8"/>
      <c r="Q56" s="3" t="s">
        <v>272</v>
      </c>
      <c r="R56" s="3"/>
      <c r="S56" s="3" t="s">
        <v>55</v>
      </c>
    </row>
    <row r="57" customFormat="false" ht="15" hidden="false" customHeight="false" outlineLevel="0" collapsed="false">
      <c r="A57" s="3" t="n">
        <v>56</v>
      </c>
      <c r="B57" s="3" t="s">
        <v>28</v>
      </c>
      <c r="C57" s="3" t="s">
        <v>261</v>
      </c>
      <c r="D57" s="3" t="s">
        <v>273</v>
      </c>
      <c r="E57" s="3" t="s">
        <v>274</v>
      </c>
      <c r="F57" s="3" t="s">
        <v>275</v>
      </c>
      <c r="G57" s="3" t="s">
        <v>81</v>
      </c>
      <c r="H57" s="3" t="s">
        <v>68</v>
      </c>
      <c r="I57" s="3" t="s">
        <v>53</v>
      </c>
      <c r="J57" s="3" t="n">
        <v>1</v>
      </c>
      <c r="K57" s="7" t="n">
        <f aca="false">J57*'Study Plan'!$B$12</f>
        <v>3.5</v>
      </c>
      <c r="L57" s="3" t="s">
        <v>6</v>
      </c>
      <c r="M57" s="15" t="n">
        <v>0</v>
      </c>
      <c r="N57" s="7"/>
      <c r="O57" s="8"/>
      <c r="P57" s="8"/>
      <c r="Q57" s="3" t="s">
        <v>276</v>
      </c>
      <c r="R57" s="3"/>
      <c r="S57" s="3"/>
    </row>
    <row r="58" customFormat="false" ht="15" hidden="false" customHeight="false" outlineLevel="0" collapsed="false">
      <c r="A58" s="3" t="n">
        <v>57</v>
      </c>
      <c r="B58" s="3" t="s">
        <v>28</v>
      </c>
      <c r="C58" s="3" t="s">
        <v>261</v>
      </c>
      <c r="D58" s="3" t="s">
        <v>277</v>
      </c>
      <c r="E58" s="3" t="s">
        <v>278</v>
      </c>
      <c r="F58" s="3" t="s">
        <v>279</v>
      </c>
      <c r="G58" s="3" t="s">
        <v>81</v>
      </c>
      <c r="H58" s="3" t="s">
        <v>68</v>
      </c>
      <c r="I58" s="3" t="s">
        <v>53</v>
      </c>
      <c r="J58" s="3" t="n">
        <v>2</v>
      </c>
      <c r="K58" s="7" t="n">
        <f aca="false">J58*'Study Plan'!$B$12</f>
        <v>7</v>
      </c>
      <c r="L58" s="3" t="s">
        <v>6</v>
      </c>
      <c r="M58" s="15" t="n">
        <v>0</v>
      </c>
      <c r="N58" s="7"/>
      <c r="O58" s="8"/>
      <c r="P58" s="8"/>
      <c r="Q58" s="3" t="s">
        <v>280</v>
      </c>
      <c r="R58" s="3"/>
      <c r="S58" s="3"/>
    </row>
    <row r="59" customFormat="false" ht="28.35" hidden="false" customHeight="false" outlineLevel="0" collapsed="false">
      <c r="A59" s="3" t="n">
        <v>58</v>
      </c>
      <c r="B59" s="3" t="s">
        <v>29</v>
      </c>
      <c r="C59" s="3" t="s">
        <v>108</v>
      </c>
      <c r="D59" s="3" t="s">
        <v>281</v>
      </c>
      <c r="E59" s="3" t="s">
        <v>282</v>
      </c>
      <c r="F59" s="3" t="s">
        <v>283</v>
      </c>
      <c r="G59" s="3" t="s">
        <v>81</v>
      </c>
      <c r="H59" s="3" t="s">
        <v>52</v>
      </c>
      <c r="I59" s="3" t="s">
        <v>53</v>
      </c>
      <c r="J59" s="3" t="n">
        <v>4</v>
      </c>
      <c r="K59" s="7" t="n">
        <f aca="false">J59*'Study Plan'!$B$12</f>
        <v>14</v>
      </c>
      <c r="L59" s="3" t="s">
        <v>6</v>
      </c>
      <c r="M59" s="15" t="n">
        <v>0</v>
      </c>
      <c r="N59" s="7"/>
      <c r="O59" s="8"/>
      <c r="P59" s="8"/>
      <c r="Q59" s="3" t="s">
        <v>284</v>
      </c>
      <c r="R59" s="3"/>
      <c r="S59" s="3"/>
    </row>
    <row r="60" customFormat="false" ht="15" hidden="false" customHeight="false" outlineLevel="0" collapsed="false">
      <c r="A60" s="3" t="n">
        <v>59</v>
      </c>
      <c r="B60" s="3" t="s">
        <v>29</v>
      </c>
      <c r="C60" s="3" t="s">
        <v>108</v>
      </c>
      <c r="D60" s="3" t="s">
        <v>281</v>
      </c>
      <c r="E60" s="3" t="s">
        <v>285</v>
      </c>
      <c r="F60" s="3" t="s">
        <v>286</v>
      </c>
      <c r="G60" s="3" t="s">
        <v>81</v>
      </c>
      <c r="H60" s="3" t="s">
        <v>52</v>
      </c>
      <c r="I60" s="3" t="s">
        <v>53</v>
      </c>
      <c r="J60" s="3" t="n">
        <v>2</v>
      </c>
      <c r="K60" s="7" t="n">
        <f aca="false">J60*'Study Plan'!$B$12</f>
        <v>7</v>
      </c>
      <c r="L60" s="3" t="s">
        <v>6</v>
      </c>
      <c r="M60" s="15" t="n">
        <v>0</v>
      </c>
      <c r="N60" s="7"/>
      <c r="O60" s="8"/>
      <c r="P60" s="8"/>
      <c r="Q60" s="3" t="s">
        <v>287</v>
      </c>
      <c r="R60" s="3"/>
      <c r="S60" s="3"/>
    </row>
    <row r="61" customFormat="false" ht="15" hidden="false" customHeight="false" outlineLevel="0" collapsed="false">
      <c r="A61" s="3" t="n">
        <v>60</v>
      </c>
      <c r="B61" s="3" t="s">
        <v>29</v>
      </c>
      <c r="C61" s="3" t="s">
        <v>108</v>
      </c>
      <c r="D61" s="3" t="s">
        <v>281</v>
      </c>
      <c r="E61" s="3" t="s">
        <v>288</v>
      </c>
      <c r="F61" s="3" t="s">
        <v>289</v>
      </c>
      <c r="G61" s="3" t="s">
        <v>81</v>
      </c>
      <c r="H61" s="3" t="s">
        <v>52</v>
      </c>
      <c r="I61" s="3" t="s">
        <v>53</v>
      </c>
      <c r="J61" s="3" t="n">
        <v>3</v>
      </c>
      <c r="K61" s="7" t="n">
        <f aca="false">J61*'Study Plan'!$B$12</f>
        <v>10.5</v>
      </c>
      <c r="L61" s="3" t="s">
        <v>6</v>
      </c>
      <c r="M61" s="15" t="n">
        <v>0</v>
      </c>
      <c r="N61" s="7"/>
      <c r="O61" s="8"/>
      <c r="P61" s="8"/>
      <c r="Q61" s="3" t="s">
        <v>290</v>
      </c>
      <c r="R61" s="3"/>
      <c r="S61" s="3"/>
    </row>
    <row r="62" customFormat="false" ht="15" hidden="false" customHeight="false" outlineLevel="0" collapsed="false">
      <c r="A62" s="3" t="n">
        <v>61</v>
      </c>
      <c r="B62" s="3" t="s">
        <v>29</v>
      </c>
      <c r="C62" s="3" t="s">
        <v>108</v>
      </c>
      <c r="D62" s="3" t="s">
        <v>291</v>
      </c>
      <c r="E62" s="3" t="s">
        <v>292</v>
      </c>
      <c r="F62" s="3" t="s">
        <v>293</v>
      </c>
      <c r="G62" s="3" t="s">
        <v>81</v>
      </c>
      <c r="H62" s="3" t="s">
        <v>52</v>
      </c>
      <c r="I62" s="3" t="s">
        <v>53</v>
      </c>
      <c r="J62" s="3" t="n">
        <v>2</v>
      </c>
      <c r="K62" s="7" t="n">
        <f aca="false">J62*'Study Plan'!$B$12</f>
        <v>7</v>
      </c>
      <c r="L62" s="3" t="s">
        <v>6</v>
      </c>
      <c r="M62" s="15" t="n">
        <v>0</v>
      </c>
      <c r="N62" s="7"/>
      <c r="O62" s="8"/>
      <c r="P62" s="8"/>
      <c r="Q62" s="3" t="s">
        <v>294</v>
      </c>
      <c r="R62" s="3"/>
      <c r="S62" s="3"/>
    </row>
  </sheetData>
  <autoFilter ref="A1:S62"/>
  <conditionalFormatting sqref="L2:L200">
    <cfRule type="cellIs" priority="2" operator="equal" aboveAverage="0" equalAverage="0" bottom="0" percent="0" rank="0" text="" dxfId="3">
      <formula>"Done"</formula>
    </cfRule>
    <cfRule type="cellIs" priority="3" operator="equal" aboveAverage="0" equalAverage="0" bottom="0" percent="0" rank="0" text="" dxfId="4">
      <formula>"In Progress"</formula>
    </cfRule>
    <cfRule type="cellIs" priority="4" operator="equal" aboveAverage="0" equalAverage="0" bottom="0" percent="0" rank="0" text="" dxfId="5">
      <formula>"Skipped"</formula>
    </cfRule>
  </conditionalFormatting>
  <conditionalFormatting sqref="I2:I200">
    <cfRule type="cellIs" priority="5" operator="equal" aboveAverage="0" equalAverage="0" bottom="0" percent="0" rank="0" text="" dxfId="6">
      <formula>"P0"</formula>
    </cfRule>
  </conditionalFormatting>
  <conditionalFormatting sqref="M2:M200">
    <cfRule type="dataBar" priority="6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{63B8D3F6-6CBD-492D-804E-ED168D57D258}</x14:id>
        </ext>
      </extLst>
    </cfRule>
  </conditionalFormatting>
  <dataValidations count="5">
    <dataValidation allowBlank="true" errorStyle="stop" operator="between" promptTitle="Status" showDropDown="false" showErrorMessage="false" showInputMessage="false" sqref="L2:L200" type="list">
      <formula1>"Not Started,In Progress,Done,Skipped"</formula1>
      <formula2>0</formula2>
    </dataValidation>
    <dataValidation allowBlank="true" errorStyle="stop" operator="between" promptTitle="Priority" showDropDown="false" showErrorMessage="false" showInputMessage="false" sqref="I2:I200" type="list">
      <formula1>"P0,P1,P2"</formula1>
      <formula2>0</formula2>
    </dataValidation>
    <dataValidation allowBlank="true" errorStyle="stop" operator="between" promptTitle="Depth" showDropDown="false" showErrorMessage="false" showInputMessage="false" sqref="H2:H200" type="list">
      <formula1>"Aware,Conversant,Hands-on"</formula1>
      <formula2>0</formula2>
    </dataValidation>
    <dataValidation allowBlank="true" errorStyle="stop" operator="between" promptTitle="Level" showDropDown="false" showErrorMessage="false" showInputMessage="false" sqref="G2:G200" type="list">
      <formula1>"Beginner,Intermediate,Advanced"</formula1>
      <formula2>0</formula2>
    </dataValidation>
    <dataValidation allowBlank="true" error="Enter a value between 0% and 100%" errorStyle="stop" operator="between" showDropDown="false" showErrorMessage="false" showInputMessage="false" sqref="M2:M200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B8D3F6-6CBD-492D-804E-ED168D57D25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M2:M200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8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6" t="s">
        <v>295</v>
      </c>
      <c r="B1" s="16" t="s">
        <v>296</v>
      </c>
    </row>
    <row r="2" customFormat="false" ht="15" hidden="false" customHeight="false" outlineLevel="0" collapsed="false">
      <c r="A2" s="17" t="s">
        <v>297</v>
      </c>
      <c r="B2" s="17" t="s">
        <v>298</v>
      </c>
    </row>
    <row r="3" customFormat="false" ht="15" hidden="false" customHeight="false" outlineLevel="0" collapsed="false">
      <c r="A3" s="17" t="s">
        <v>299</v>
      </c>
      <c r="B3" s="17" t="s">
        <v>300</v>
      </c>
    </row>
    <row r="4" customFormat="false" ht="15" hidden="false" customHeight="false" outlineLevel="0" collapsed="false">
      <c r="A4" s="17" t="s">
        <v>301</v>
      </c>
      <c r="B4" s="17" t="s">
        <v>302</v>
      </c>
    </row>
    <row r="5" customFormat="false" ht="15" hidden="false" customHeight="false" outlineLevel="0" collapsed="false">
      <c r="A5" s="17" t="s">
        <v>303</v>
      </c>
      <c r="B5" s="17" t="s">
        <v>304</v>
      </c>
    </row>
    <row r="6" customFormat="false" ht="15" hidden="false" customHeight="false" outlineLevel="0" collapsed="false">
      <c r="A6" s="17" t="s">
        <v>305</v>
      </c>
      <c r="B6" s="17" t="s">
        <v>306</v>
      </c>
    </row>
    <row r="7" customFormat="false" ht="15" hidden="false" customHeight="false" outlineLevel="0" collapsed="false">
      <c r="A7" s="17" t="s">
        <v>37</v>
      </c>
      <c r="B7" s="17" t="s">
        <v>307</v>
      </c>
    </row>
    <row r="8" customFormat="false" ht="15" hidden="false" customHeight="false" outlineLevel="0" collapsed="false">
      <c r="A8" s="17" t="s">
        <v>308</v>
      </c>
      <c r="B8" s="17" t="s">
        <v>309</v>
      </c>
    </row>
    <row r="9" customFormat="false" ht="15" hidden="false" customHeight="false" outlineLevel="0" collapsed="false">
      <c r="A9" s="17" t="s">
        <v>310</v>
      </c>
      <c r="B9" s="17" t="s">
        <v>311</v>
      </c>
    </row>
    <row r="11" customFormat="false" ht="15" hidden="false" customHeight="false" outlineLevel="0" collapsed="false">
      <c r="A11" s="18" t="s">
        <v>312</v>
      </c>
      <c r="B11" s="19"/>
    </row>
    <row r="12" customFormat="false" ht="15" hidden="false" customHeight="false" outlineLevel="0" collapsed="false">
      <c r="A12" s="20" t="s">
        <v>313</v>
      </c>
      <c r="B12" s="21" t="n">
        <v>3.5</v>
      </c>
      <c r="C12" s="9" t="s">
        <v>314</v>
      </c>
    </row>
    <row r="13" customFormat="false" ht="15" hidden="false" customHeight="false" outlineLevel="0" collapsed="false">
      <c r="A13" s="20" t="s">
        <v>315</v>
      </c>
      <c r="B13" s="22"/>
      <c r="C13" s="9" t="s">
        <v>316</v>
      </c>
    </row>
    <row r="14" customFormat="false" ht="15" hidden="false" customHeight="false" outlineLevel="0" collapsed="false">
      <c r="A14" s="20" t="s">
        <v>317</v>
      </c>
      <c r="B14" s="22"/>
      <c r="C14" s="9" t="s">
        <v>318</v>
      </c>
    </row>
    <row r="15" customFormat="false" ht="15" hidden="false" customHeight="false" outlineLevel="0" collapsed="false">
      <c r="A15" s="20" t="s">
        <v>319</v>
      </c>
      <c r="B15" s="21" t="n">
        <v>7</v>
      </c>
      <c r="C15" s="9" t="s">
        <v>320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2" t="s">
        <v>321</v>
      </c>
      <c r="B1" s="2" t="s">
        <v>322</v>
      </c>
    </row>
    <row r="2" customFormat="false" ht="15" hidden="false" customHeight="false" outlineLevel="0" collapsed="false">
      <c r="A2" s="3" t="s">
        <v>323</v>
      </c>
      <c r="B2" s="3" t="s">
        <v>324</v>
      </c>
    </row>
    <row r="3" customFormat="false" ht="28.35" hidden="false" customHeight="false" outlineLevel="0" collapsed="false">
      <c r="A3" s="3" t="s">
        <v>325</v>
      </c>
      <c r="B3" s="3" t="s">
        <v>326</v>
      </c>
    </row>
    <row r="4" customFormat="false" ht="15" hidden="false" customHeight="false" outlineLevel="0" collapsed="false">
      <c r="A4" s="3" t="s">
        <v>327</v>
      </c>
      <c r="B4" s="3" t="s">
        <v>328</v>
      </c>
    </row>
    <row r="5" customFormat="false" ht="15" hidden="false" customHeight="false" outlineLevel="0" collapsed="false">
      <c r="A5" s="3" t="s">
        <v>329</v>
      </c>
      <c r="B5" s="3" t="s">
        <v>330</v>
      </c>
    </row>
    <row r="6" customFormat="false" ht="15" hidden="false" customHeight="false" outlineLevel="0" collapsed="false">
      <c r="A6" s="3" t="s">
        <v>331</v>
      </c>
      <c r="B6" s="3" t="s">
        <v>332</v>
      </c>
    </row>
    <row r="7" customFormat="false" ht="15" hidden="false" customHeight="false" outlineLevel="0" collapsed="false">
      <c r="A7" s="3" t="s">
        <v>333</v>
      </c>
      <c r="B7" s="3" t="s">
        <v>334</v>
      </c>
    </row>
    <row r="8" customFormat="false" ht="15" hidden="false" customHeight="false" outlineLevel="0" collapsed="false">
      <c r="A8" s="3" t="s">
        <v>335</v>
      </c>
      <c r="B8" s="3" t="s">
        <v>336</v>
      </c>
    </row>
    <row r="9" customFormat="false" ht="15" hidden="false" customHeight="false" outlineLevel="0" collapsed="false">
      <c r="A9" s="3" t="s">
        <v>337</v>
      </c>
      <c r="B9" s="3" t="s">
        <v>338</v>
      </c>
    </row>
    <row r="10" customFormat="false" ht="15" hidden="false" customHeight="false" outlineLevel="0" collapsed="false">
      <c r="A10" s="3" t="s">
        <v>38</v>
      </c>
      <c r="B10" s="3" t="s">
        <v>339</v>
      </c>
    </row>
    <row r="11" customFormat="false" ht="15" hidden="false" customHeight="false" outlineLevel="0" collapsed="false">
      <c r="A11" s="3" t="s">
        <v>20</v>
      </c>
      <c r="B11" s="3" t="s">
        <v>340</v>
      </c>
    </row>
    <row r="12" customFormat="false" ht="15" hidden="false" customHeight="false" outlineLevel="0" collapsed="false">
      <c r="A12" s="3" t="s">
        <v>44</v>
      </c>
      <c r="B12" s="3" t="s">
        <v>341</v>
      </c>
    </row>
    <row r="13" customFormat="false" ht="15" hidden="false" customHeight="false" outlineLevel="0" collapsed="false">
      <c r="A13" s="3" t="s">
        <v>342</v>
      </c>
      <c r="B13" s="3" t="s">
        <v>343</v>
      </c>
    </row>
    <row r="14" customFormat="false" ht="28.35" hidden="false" customHeight="false" outlineLevel="0" collapsed="false">
      <c r="A14" s="3" t="s">
        <v>344</v>
      </c>
      <c r="B14" s="3" t="s">
        <v>345</v>
      </c>
    </row>
    <row r="15" customFormat="false" ht="15" hidden="false" customHeight="false" outlineLevel="0" collapsed="false">
      <c r="A15" s="3" t="s">
        <v>346</v>
      </c>
      <c r="B15" s="3" t="s">
        <v>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2026-10-06T20:56:02Z</dcterms:created>
  <dc:creator>openpyxl</dc:creator>
  <dc:description/>
  <dc:language>en-US</dc:language>
  <cp:lastModifiedBy/>
  <dcterms:modified xsi:type="dcterms:W3CDTF">2026-10-06T20:56:02Z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